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 Prices" sheetId="1" state="visible" r:id="rId1"/>
    <sheet xmlns:r="http://schemas.openxmlformats.org/officeDocument/2006/relationships" name="Quality Status" sheetId="2" state="visible" r:id="rId2"/>
    <sheet xmlns:r="http://schemas.openxmlformats.org/officeDocument/2006/relationships" name="Award Scenarios" sheetId="3" state="visible" r:id="rId3"/>
  </sheets>
  <definedNames>
    <definedName name="_xlnm._FilterDatabase" localSheetId="0" hidden="1">'Normalized Prices'!$A$1:$L$153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6" customWidth="1" min="4" max="4"/>
    <col width="16" customWidth="1" min="5" max="5"/>
    <col width="8" customWidth="1" min="6" max="6"/>
    <col width="12" customWidth="1" min="7" max="7"/>
    <col width="16" customWidth="1" min="8" max="8"/>
    <col width="14" customWidth="1" min="9" max="9"/>
    <col width="11" customWidth="1" min="10" max="10"/>
    <col width="8" customWidth="1" min="11" max="11"/>
    <col width="70" customWidth="1" min="12" max="12"/>
  </cols>
  <sheetData>
    <row r="1">
      <c r="A1" s="1" t="inlineStr">
        <is>
          <t>Line</t>
        </is>
      </c>
      <c r="B1" s="1" t="inlineStr">
        <is>
          <t>Item code</t>
        </is>
      </c>
      <c r="C1" s="1" t="inlineStr">
        <is>
          <t>Vendor</t>
        </is>
      </c>
      <c r="D1" s="1" t="inlineStr">
        <is>
          <t>As quoted</t>
        </is>
      </c>
      <c r="E1" s="1" t="inlineStr">
        <is>
          <t>Unit basis</t>
        </is>
      </c>
      <c r="F1" s="1" t="inlineStr">
        <is>
          <t>Currency</t>
        </is>
      </c>
      <c r="G1" s="1" t="inlineStr">
        <is>
          <t>GST basis</t>
        </is>
      </c>
      <c r="H1" s="1" t="inlineStr">
        <is>
          <t>Freight basis</t>
        </is>
      </c>
      <c r="I1" s="1" t="inlineStr">
        <is>
          <t>Normalized ₹/pc (landed, ex-GST)</t>
        </is>
      </c>
      <c r="J1" s="1" t="inlineStr">
        <is>
          <t>Last-year ₹/pc</t>
        </is>
      </c>
      <c r="K1" s="1" t="inlineStr">
        <is>
          <t>vs LY %</t>
        </is>
      </c>
      <c r="L1" s="1" t="inlineStr">
        <is>
          <t>Flags the system must raise</t>
        </is>
      </c>
    </row>
    <row r="2">
      <c r="A2" s="2" t="n">
        <v>1</v>
      </c>
      <c r="B2" s="2" t="inlineStr">
        <is>
          <t>CB-301</t>
        </is>
      </c>
      <c r="C2" s="2" t="inlineStr">
        <is>
          <t>Kraftline</t>
        </is>
      </c>
      <c r="D2" s="2" t="n">
        <v>13875</v>
      </c>
      <c r="E2" s="2" t="inlineStr">
        <is>
          <t>per 1000 pcs</t>
        </is>
      </c>
      <c r="F2" s="2" t="inlineStr">
        <is>
          <t>INR</t>
        </is>
      </c>
      <c r="G2" s="2" t="inlineStr">
        <is>
          <t>excl</t>
        </is>
      </c>
      <c r="H2" s="2" t="inlineStr">
        <is>
          <t>delivered</t>
        </is>
      </c>
      <c r="I2" s="2" t="n">
        <v>13.88</v>
      </c>
      <c r="J2" s="2" t="n">
        <v>13.59</v>
      </c>
      <c r="K2" s="3">
        <f>IF(I2="","",I2/J2-1)</f>
        <v/>
      </c>
      <c r="L2" s="2" t="inlineStr"/>
    </row>
    <row r="3">
      <c r="A3" s="2" t="n">
        <v>1</v>
      </c>
      <c r="B3" s="2" t="inlineStr">
        <is>
          <t>CB-301</t>
        </is>
      </c>
      <c r="C3" s="2" t="inlineStr">
        <is>
          <t>Shree Balaji</t>
        </is>
      </c>
      <c r="D3" s="2" t="n">
        <v>15.95</v>
      </c>
      <c r="E3" s="2" t="inlineStr">
        <is>
          <t>per pc</t>
        </is>
      </c>
      <c r="F3" s="2" t="inlineStr">
        <is>
          <t>INR</t>
        </is>
      </c>
      <c r="G3" s="2" t="inlineStr">
        <is>
          <t>incl 18%</t>
        </is>
      </c>
      <c r="H3" s="2" t="inlineStr">
        <is>
          <t>delivered</t>
        </is>
      </c>
      <c r="I3" s="2" t="n">
        <v>13.11</v>
      </c>
      <c r="J3" s="2" t="n">
        <v>13.59</v>
      </c>
      <c r="K3" s="3">
        <f>IF(I3="","",I3/J3-1)</f>
        <v/>
      </c>
      <c r="L3" s="2" t="inlineStr">
        <is>
          <t>GST-inclusive, stripped 18%; 3% discount applied – conditional on PO &gt; ₹10L</t>
        </is>
      </c>
    </row>
    <row r="4">
      <c r="A4" s="2" t="n">
        <v>1</v>
      </c>
      <c r="B4" s="2" t="inlineStr">
        <is>
          <t>CB-301</t>
        </is>
      </c>
      <c r="C4" s="2" t="inlineStr">
        <is>
          <t>Pacific</t>
        </is>
      </c>
      <c r="D4" s="2" t="n">
        <v>0.171</v>
      </c>
      <c r="E4" s="2" t="inlineStr">
        <is>
          <t>per pc</t>
        </is>
      </c>
      <c r="F4" s="2" t="inlineStr">
        <is>
          <t>USD</t>
        </is>
      </c>
      <c r="G4" s="2" t="inlineStr">
        <is>
          <t>excl</t>
        </is>
      </c>
      <c r="H4" s="2" t="inlineStr">
        <is>
          <t>delivered</t>
        </is>
      </c>
      <c r="I4" s="2" t="n">
        <v>15.05</v>
      </c>
      <c r="J4" s="2" t="n">
        <v>13.59</v>
      </c>
      <c r="K4" s="3">
        <f>IF(I4="","",I4/J4-1)</f>
        <v/>
      </c>
      <c r="L4" s="2" t="inlineStr">
        <is>
          <t>USD @ 88.00 assumed; invoiced at RBI rate on invoice date (FX risk); Validity only 15 days</t>
        </is>
      </c>
    </row>
    <row r="5">
      <c r="A5" s="2" t="n">
        <v>1</v>
      </c>
      <c r="B5" s="2" t="inlineStr">
        <is>
          <t>CB-301</t>
        </is>
      </c>
      <c r="C5" s="2" t="inlineStr">
        <is>
          <t>Gupta</t>
        </is>
      </c>
      <c r="D5" s="2" t="n">
        <v>1155</v>
      </c>
      <c r="E5" s="2" t="inlineStr">
        <is>
          <t>per 100 pcs (plain)</t>
        </is>
      </c>
      <c r="F5" s="2" t="inlineStr">
        <is>
          <t>INR</t>
        </is>
      </c>
      <c r="G5" s="2" t="inlineStr">
        <is>
          <t>excl</t>
        </is>
      </c>
      <c r="H5" s="2" t="inlineStr">
        <is>
          <t>ex-works</t>
        </is>
      </c>
      <c r="I5" s="2" t="n">
        <v>12.79</v>
      </c>
      <c r="J5" s="2" t="n">
        <v>13.59</v>
      </c>
      <c r="K5" s="3">
        <f>IF(I5="","",I5/J5-1)</f>
        <v/>
      </c>
      <c r="L5" s="2" t="inlineStr">
        <is>
          <t>Matched to inch size 16 x 12 x 8 (1.6% max dimension deviation); Paper grade not stated; Ex-works: freight est. ₹2/kg; Plain-box rate + ₹0.50/colour print adder</t>
        </is>
      </c>
    </row>
    <row r="6">
      <c r="A6" s="2" t="n">
        <v>1</v>
      </c>
      <c r="B6" s="2" t="inlineStr">
        <is>
          <t>CB-301</t>
        </is>
      </c>
      <c r="C6" s="2" t="inlineStr">
        <is>
          <t>Om Sai</t>
        </is>
      </c>
      <c r="D6" s="2" t="inlineStr">
        <is>
          <t>₹38/kg</t>
        </is>
      </c>
      <c r="E6" s="2" t="inlineStr">
        <is>
          <t>per kg</t>
        </is>
      </c>
      <c r="F6" s="2" t="inlineStr">
        <is>
          <t>INR</t>
        </is>
      </c>
      <c r="G6" s="2" t="inlineStr">
        <is>
          <t>assumed excl</t>
        </is>
      </c>
      <c r="H6" s="2" t="inlineStr">
        <is>
          <t>extra (est ₹2/kg)</t>
        </is>
      </c>
      <c r="I6" s="2" t="n">
        <v>15.04</v>
      </c>
      <c r="J6" s="2" t="n">
        <v>13.59</v>
      </c>
      <c r="K6" s="3">
        <f>IF(I6="","",I6/J6-1)</f>
        <v/>
      </c>
      <c r="L6" s="2" t="inlineStr">
        <is>
          <t>kg rate applied; print adder assumed same as last year; Freight extra: est. ₹2/kg; GST basis not stated – assumed exclusive</t>
        </is>
      </c>
    </row>
    <row r="7">
      <c r="A7" s="2" t="n">
        <v>2</v>
      </c>
      <c r="B7" s="2" t="inlineStr">
        <is>
          <t>CB-302</t>
        </is>
      </c>
      <c r="C7" s="2" t="inlineStr">
        <is>
          <t>Kraftline</t>
        </is>
      </c>
      <c r="D7" s="2" t="n">
        <v>10525</v>
      </c>
      <c r="E7" s="2" t="inlineStr">
        <is>
          <t>per 1000 pcs</t>
        </is>
      </c>
      <c r="F7" s="2" t="inlineStr">
        <is>
          <t>INR</t>
        </is>
      </c>
      <c r="G7" s="2" t="inlineStr">
        <is>
          <t>excl</t>
        </is>
      </c>
      <c r="H7" s="2" t="inlineStr">
        <is>
          <t>delivered</t>
        </is>
      </c>
      <c r="I7" s="2" t="n">
        <v>10.53</v>
      </c>
      <c r="J7" s="2" t="n">
        <v>10.4</v>
      </c>
      <c r="K7" s="3">
        <f>IF(I7="","",I7/J7-1)</f>
        <v/>
      </c>
      <c r="L7" s="2" t="inlineStr"/>
    </row>
    <row r="8">
      <c r="A8" s="2" t="n">
        <v>2</v>
      </c>
      <c r="B8" s="2" t="inlineStr">
        <is>
          <t>CB-302</t>
        </is>
      </c>
      <c r="C8" s="2" t="inlineStr">
        <is>
          <t>Shree Balaji</t>
        </is>
      </c>
      <c r="D8" s="2" t="n">
        <v>11.83</v>
      </c>
      <c r="E8" s="2" t="inlineStr">
        <is>
          <t>per pc</t>
        </is>
      </c>
      <c r="F8" s="2" t="inlineStr">
        <is>
          <t>INR</t>
        </is>
      </c>
      <c r="G8" s="2" t="inlineStr">
        <is>
          <t>incl 18%</t>
        </is>
      </c>
      <c r="H8" s="2" t="inlineStr">
        <is>
          <t>delivered</t>
        </is>
      </c>
      <c r="I8" s="2" t="n">
        <v>9.720000000000001</v>
      </c>
      <c r="J8" s="2" t="n">
        <v>10.4</v>
      </c>
      <c r="K8" s="3">
        <f>IF(I8="","",I8/J8-1)</f>
        <v/>
      </c>
      <c r="L8" s="2" t="inlineStr">
        <is>
          <t>GST-inclusive, stripped 18%; 3% discount applied – conditional on PO &gt; ₹10L</t>
        </is>
      </c>
    </row>
    <row r="9">
      <c r="A9" s="2" t="n">
        <v>2</v>
      </c>
      <c r="B9" s="2" t="inlineStr">
        <is>
          <t>CB-302</t>
        </is>
      </c>
      <c r="C9" s="2" t="inlineStr">
        <is>
          <t>Pacific</t>
        </is>
      </c>
      <c r="D9" s="2" t="n">
        <v>0.132</v>
      </c>
      <c r="E9" s="2" t="inlineStr">
        <is>
          <t>per pc</t>
        </is>
      </c>
      <c r="F9" s="2" t="inlineStr">
        <is>
          <t>USD</t>
        </is>
      </c>
      <c r="G9" s="2" t="inlineStr">
        <is>
          <t>excl</t>
        </is>
      </c>
      <c r="H9" s="2" t="inlineStr">
        <is>
          <t>delivered</t>
        </is>
      </c>
      <c r="I9" s="2" t="n">
        <v>11.62</v>
      </c>
      <c r="J9" s="2" t="n">
        <v>10.4</v>
      </c>
      <c r="K9" s="3">
        <f>IF(I9="","",I9/J9-1)</f>
        <v/>
      </c>
      <c r="L9" s="2" t="inlineStr">
        <is>
          <t>USD @ 88.00 assumed; invoiced at RBI rate on invoice date (FX risk); Validity only 15 days</t>
        </is>
      </c>
    </row>
    <row r="10">
      <c r="A10" s="2" t="n">
        <v>2</v>
      </c>
      <c r="B10" s="2" t="inlineStr">
        <is>
          <t>CB-302</t>
        </is>
      </c>
      <c r="C10" s="2" t="inlineStr">
        <is>
          <t>Gupta</t>
        </is>
      </c>
      <c r="D10" s="2" t="n">
        <v>895</v>
      </c>
      <c r="E10" s="2" t="inlineStr">
        <is>
          <t>per 100 pcs (plain)</t>
        </is>
      </c>
      <c r="F10" s="2" t="inlineStr">
        <is>
          <t>INR</t>
        </is>
      </c>
      <c r="G10" s="2" t="inlineStr">
        <is>
          <t>excl</t>
        </is>
      </c>
      <c r="H10" s="2" t="inlineStr">
        <is>
          <t>ex-works</t>
        </is>
      </c>
      <c r="I10" s="2" t="n">
        <v>10</v>
      </c>
      <c r="J10" s="2" t="n">
        <v>10.4</v>
      </c>
      <c r="K10" s="3">
        <f>IF(I10="","",I10/J10-1)</f>
        <v/>
      </c>
      <c r="L10" s="2" t="inlineStr">
        <is>
          <t>Matched to inch size 14 x 10 x 7 (1.6% max dimension deviation); Paper grade not stated; Ex-works: freight est. ₹2/kg; Handwritten correction (struck 845, written 895); Plain-box rate + ₹0.50/colour print adder</t>
        </is>
      </c>
    </row>
    <row r="11">
      <c r="A11" s="2" t="n">
        <v>2</v>
      </c>
      <c r="B11" s="2" t="inlineStr">
        <is>
          <t>CB-302</t>
        </is>
      </c>
      <c r="C11" s="2" t="inlineStr">
        <is>
          <t>Om Sai</t>
        </is>
      </c>
      <c r="D11" s="2" t="inlineStr">
        <is>
          <t>₹38/kg</t>
        </is>
      </c>
      <c r="E11" s="2" t="inlineStr">
        <is>
          <t>per kg</t>
        </is>
      </c>
      <c r="F11" s="2" t="inlineStr">
        <is>
          <t>INR</t>
        </is>
      </c>
      <c r="G11" s="2" t="inlineStr">
        <is>
          <t>assumed excl</t>
        </is>
      </c>
      <c r="H11" s="2" t="inlineStr">
        <is>
          <t>extra (est ₹2/kg)</t>
        </is>
      </c>
      <c r="I11" s="2" t="n">
        <v>11.48</v>
      </c>
      <c r="J11" s="2" t="n">
        <v>10.4</v>
      </c>
      <c r="K11" s="3">
        <f>IF(I11="","",I11/J11-1)</f>
        <v/>
      </c>
      <c r="L11" s="2" t="inlineStr">
        <is>
          <t>kg rate applied; print adder assumed same as last year; Freight extra: est. ₹2/kg; GST basis not stated – assumed exclusive</t>
        </is>
      </c>
    </row>
    <row r="12">
      <c r="A12" s="2" t="n">
        <v>3</v>
      </c>
      <c r="B12" s="2" t="inlineStr">
        <is>
          <t>CB-303</t>
        </is>
      </c>
      <c r="C12" s="2" t="inlineStr">
        <is>
          <t>Kraftline</t>
        </is>
      </c>
      <c r="D12" s="2" t="n">
        <v>15970</v>
      </c>
      <c r="E12" s="2" t="inlineStr">
        <is>
          <t>per 1000 pcs</t>
        </is>
      </c>
      <c r="F12" s="2" t="inlineStr">
        <is>
          <t>INR</t>
        </is>
      </c>
      <c r="G12" s="2" t="inlineStr">
        <is>
          <t>excl</t>
        </is>
      </c>
      <c r="H12" s="2" t="inlineStr">
        <is>
          <t>delivered</t>
        </is>
      </c>
      <c r="I12" s="2" t="n">
        <v>15.97</v>
      </c>
      <c r="J12" s="2" t="n">
        <v>15.39</v>
      </c>
      <c r="K12" s="3">
        <f>IF(I12="","",I12/J12-1)</f>
        <v/>
      </c>
      <c r="L12" s="2" t="inlineStr"/>
    </row>
    <row r="13">
      <c r="A13" s="2" t="n">
        <v>3</v>
      </c>
      <c r="B13" s="2" t="inlineStr">
        <is>
          <t>CB-303</t>
        </is>
      </c>
      <c r="C13" s="2" t="inlineStr">
        <is>
          <t>Shree Balaji</t>
        </is>
      </c>
      <c r="D13" s="2" t="n">
        <v>17.86</v>
      </c>
      <c r="E13" s="2" t="inlineStr">
        <is>
          <t>per pc</t>
        </is>
      </c>
      <c r="F13" s="2" t="inlineStr">
        <is>
          <t>INR</t>
        </is>
      </c>
      <c r="G13" s="2" t="inlineStr">
        <is>
          <t>incl 18%</t>
        </is>
      </c>
      <c r="H13" s="2" t="inlineStr">
        <is>
          <t>delivered</t>
        </is>
      </c>
      <c r="I13" s="2" t="n">
        <v>14.68</v>
      </c>
      <c r="J13" s="2" t="n">
        <v>15.39</v>
      </c>
      <c r="K13" s="3">
        <f>IF(I13="","",I13/J13-1)</f>
        <v/>
      </c>
      <c r="L13" s="2" t="inlineStr">
        <is>
          <t>GST-inclusive, stripped 18%; 3% discount applied – conditional on PO &gt; ₹10L</t>
        </is>
      </c>
    </row>
    <row r="14">
      <c r="A14" s="2" t="n">
        <v>3</v>
      </c>
      <c r="B14" s="2" t="inlineStr">
        <is>
          <t>CB-303</t>
        </is>
      </c>
      <c r="C14" s="2" t="inlineStr">
        <is>
          <t>Pacific</t>
        </is>
      </c>
      <c r="D14" s="2" t="n">
        <v>0.193</v>
      </c>
      <c r="E14" s="2" t="inlineStr">
        <is>
          <t>per pc</t>
        </is>
      </c>
      <c r="F14" s="2" t="inlineStr">
        <is>
          <t>USD</t>
        </is>
      </c>
      <c r="G14" s="2" t="inlineStr">
        <is>
          <t>excl</t>
        </is>
      </c>
      <c r="H14" s="2" t="inlineStr">
        <is>
          <t>delivered</t>
        </is>
      </c>
      <c r="I14" s="2" t="n">
        <v>16.98</v>
      </c>
      <c r="J14" s="2" t="n">
        <v>15.39</v>
      </c>
      <c r="K14" s="3">
        <f>IF(I14="","",I14/J14-1)</f>
        <v/>
      </c>
      <c r="L14" s="2" t="inlineStr">
        <is>
          <t>USD @ 88.00 assumed; invoiced at RBI rate on invoice date (FX risk); Validity only 15 days</t>
        </is>
      </c>
    </row>
    <row r="15">
      <c r="A15" s="2" t="n">
        <v>3</v>
      </c>
      <c r="B15" s="2" t="inlineStr">
        <is>
          <t>CB-303</t>
        </is>
      </c>
      <c r="C15" s="2" t="inlineStr">
        <is>
          <t>Gupta</t>
        </is>
      </c>
      <c r="D15" s="2" t="n">
        <v>1355</v>
      </c>
      <c r="E15" s="2" t="inlineStr">
        <is>
          <t>per 100 pcs (plain)</t>
        </is>
      </c>
      <c r="F15" s="2" t="inlineStr">
        <is>
          <t>INR</t>
        </is>
      </c>
      <c r="G15" s="2" t="inlineStr">
        <is>
          <t>excl</t>
        </is>
      </c>
      <c r="H15" s="2" t="inlineStr">
        <is>
          <t>ex-works</t>
        </is>
      </c>
      <c r="I15" s="2" t="n">
        <v>14.92</v>
      </c>
      <c r="J15" s="2" t="n">
        <v>15.39</v>
      </c>
      <c r="K15" s="3">
        <f>IF(I15="","",I15/J15-1)</f>
        <v/>
      </c>
      <c r="L15" s="2" t="inlineStr">
        <is>
          <t>Matched to inch size 17 x 13 x 9 (3.9% max dimension deviation); Paper grade not stated; Ex-works: freight est. ₹2/kg; Plain-box rate + ₹0.50/colour print adder</t>
        </is>
      </c>
    </row>
    <row r="16">
      <c r="A16" s="2" t="n">
        <v>3</v>
      </c>
      <c r="B16" s="2" t="inlineStr">
        <is>
          <t>CB-303</t>
        </is>
      </c>
      <c r="C16" s="2" t="inlineStr">
        <is>
          <t>Om Sai</t>
        </is>
      </c>
      <c r="D16" s="2" t="inlineStr">
        <is>
          <t>₹38/kg</t>
        </is>
      </c>
      <c r="E16" s="2" t="inlineStr">
        <is>
          <t>per kg</t>
        </is>
      </c>
      <c r="F16" s="2" t="inlineStr">
        <is>
          <t>INR</t>
        </is>
      </c>
      <c r="G16" s="2" t="inlineStr">
        <is>
          <t>assumed excl</t>
        </is>
      </c>
      <c r="H16" s="2" t="inlineStr">
        <is>
          <t>extra (est ₹2/kg)</t>
        </is>
      </c>
      <c r="I16" s="2" t="n">
        <v>17.04</v>
      </c>
      <c r="J16" s="2" t="n">
        <v>15.39</v>
      </c>
      <c r="K16" s="3">
        <f>IF(I16="","",I16/J16-1)</f>
        <v/>
      </c>
      <c r="L16" s="2" t="inlineStr">
        <is>
          <t>kg rate applied; print adder assumed same as last year; Freight extra: est. ₹2/kg; GST basis not stated – assumed exclusive</t>
        </is>
      </c>
    </row>
    <row r="17">
      <c r="A17" s="2" t="n">
        <v>4</v>
      </c>
      <c r="B17" s="2" t="inlineStr">
        <is>
          <t>CB-304</t>
        </is>
      </c>
      <c r="C17" s="2" t="inlineStr">
        <is>
          <t>Kraftline</t>
        </is>
      </c>
      <c r="D17" s="2" t="n">
        <v>17355</v>
      </c>
      <c r="E17" s="2" t="inlineStr">
        <is>
          <t>per 1000 pcs</t>
        </is>
      </c>
      <c r="F17" s="2" t="inlineStr">
        <is>
          <t>INR</t>
        </is>
      </c>
      <c r="G17" s="2" t="inlineStr">
        <is>
          <t>excl</t>
        </is>
      </c>
      <c r="H17" s="2" t="inlineStr">
        <is>
          <t>delivered</t>
        </is>
      </c>
      <c r="I17" s="2" t="n">
        <v>17.36</v>
      </c>
      <c r="J17" s="2" t="n">
        <v>17.22</v>
      </c>
      <c r="K17" s="3">
        <f>IF(I17="","",I17/J17-1)</f>
        <v/>
      </c>
      <c r="L17" s="2" t="inlineStr"/>
    </row>
    <row r="18">
      <c r="A18" s="2" t="n">
        <v>4</v>
      </c>
      <c r="B18" s="2" t="inlineStr">
        <is>
          <t>CB-304</t>
        </is>
      </c>
      <c r="C18" s="2" t="inlineStr">
        <is>
          <t>Shree Balaji</t>
        </is>
      </c>
      <c r="D18" s="2" t="n">
        <v>20.04</v>
      </c>
      <c r="E18" s="2" t="inlineStr">
        <is>
          <t>per pc</t>
        </is>
      </c>
      <c r="F18" s="2" t="inlineStr">
        <is>
          <t>INR</t>
        </is>
      </c>
      <c r="G18" s="2" t="inlineStr">
        <is>
          <t>incl 18%</t>
        </is>
      </c>
      <c r="H18" s="2" t="inlineStr">
        <is>
          <t>delivered</t>
        </is>
      </c>
      <c r="I18" s="2" t="n">
        <v>16.47</v>
      </c>
      <c r="J18" s="2" t="n">
        <v>17.22</v>
      </c>
      <c r="K18" s="3">
        <f>IF(I18="","",I18/J18-1)</f>
        <v/>
      </c>
      <c r="L18" s="2" t="inlineStr">
        <is>
          <t>GST-inclusive, stripped 18%; 3% discount applied – conditional on PO &gt; ₹10L</t>
        </is>
      </c>
    </row>
    <row r="19">
      <c r="A19" s="2" t="n">
        <v>4</v>
      </c>
      <c r="B19" s="2" t="inlineStr">
        <is>
          <t>CB-304</t>
        </is>
      </c>
      <c r="C19" s="2" t="inlineStr">
        <is>
          <t>Pacific</t>
        </is>
      </c>
      <c r="D19" s="2" t="n">
        <v>0.219</v>
      </c>
      <c r="E19" s="2" t="inlineStr">
        <is>
          <t>per pc</t>
        </is>
      </c>
      <c r="F19" s="2" t="inlineStr">
        <is>
          <t>USD</t>
        </is>
      </c>
      <c r="G19" s="2" t="inlineStr">
        <is>
          <t>excl</t>
        </is>
      </c>
      <c r="H19" s="2" t="inlineStr">
        <is>
          <t>delivered</t>
        </is>
      </c>
      <c r="I19" s="2" t="n">
        <v>19.27</v>
      </c>
      <c r="J19" s="2" t="n">
        <v>17.22</v>
      </c>
      <c r="K19" s="3">
        <f>IF(I19="","",I19/J19-1)</f>
        <v/>
      </c>
      <c r="L19" s="2" t="inlineStr">
        <is>
          <t>USD @ 88.00 assumed; invoiced at RBI rate on invoice date (FX risk); Validity only 15 days</t>
        </is>
      </c>
    </row>
    <row r="20">
      <c r="A20" s="2" t="n">
        <v>4</v>
      </c>
      <c r="B20" s="2" t="inlineStr">
        <is>
          <t>CB-304</t>
        </is>
      </c>
      <c r="C20" s="2" t="inlineStr">
        <is>
          <t>Gupta</t>
        </is>
      </c>
      <c r="D20" s="2" t="n">
        <v>1565</v>
      </c>
      <c r="E20" s="2" t="inlineStr">
        <is>
          <t>per 100 pcs (plain)</t>
        </is>
      </c>
      <c r="F20" s="2" t="inlineStr">
        <is>
          <t>INR</t>
        </is>
      </c>
      <c r="G20" s="2" t="inlineStr">
        <is>
          <t>excl</t>
        </is>
      </c>
      <c r="H20" s="2" t="inlineStr">
        <is>
          <t>ex-works</t>
        </is>
      </c>
      <c r="I20" s="2" t="n">
        <v>17.1</v>
      </c>
      <c r="J20" s="2" t="n">
        <v>17.22</v>
      </c>
      <c r="K20" s="3">
        <f>IF(I20="","",I20/J20-1)</f>
        <v/>
      </c>
      <c r="L20" s="2" t="inlineStr">
        <is>
          <t>Matched to inch size 18 x 12 x 12 (1.6% max dimension deviation); Paper grade not stated; Ex-works: freight est. ₹2/kg; Handwritten correction (struck 1475, written 1565); Plain-box rate + ₹0.50/colour print adder</t>
        </is>
      </c>
    </row>
    <row r="21">
      <c r="A21" s="2" t="n">
        <v>4</v>
      </c>
      <c r="B21" s="2" t="inlineStr">
        <is>
          <t>CB-304</t>
        </is>
      </c>
      <c r="C21" s="2" t="inlineStr">
        <is>
          <t>Om Sai</t>
        </is>
      </c>
      <c r="D21" s="2" t="inlineStr">
        <is>
          <t>₹38/kg</t>
        </is>
      </c>
      <c r="E21" s="2" t="inlineStr">
        <is>
          <t>per kg</t>
        </is>
      </c>
      <c r="F21" s="2" t="inlineStr">
        <is>
          <t>INR</t>
        </is>
      </c>
      <c r="G21" s="2" t="inlineStr">
        <is>
          <t>assumed excl</t>
        </is>
      </c>
      <c r="H21" s="2" t="inlineStr">
        <is>
          <t>extra (est ₹2/kg)</t>
        </is>
      </c>
      <c r="I21" s="2" t="n">
        <v>19.08</v>
      </c>
      <c r="J21" s="2" t="n">
        <v>17.22</v>
      </c>
      <c r="K21" s="3">
        <f>IF(I21="","",I21/J21-1)</f>
        <v/>
      </c>
      <c r="L21" s="2" t="inlineStr">
        <is>
          <t>kg rate applied; print adder assumed same as last year; Freight extra: est. ₹2/kg; GST basis not stated – assumed exclusive</t>
        </is>
      </c>
    </row>
    <row r="22">
      <c r="A22" s="2" t="n">
        <v>5</v>
      </c>
      <c r="B22" s="2" t="inlineStr">
        <is>
          <t>CB-305</t>
        </is>
      </c>
      <c r="C22" s="2" t="inlineStr">
        <is>
          <t>Kraftline</t>
        </is>
      </c>
      <c r="D22" s="2" t="n">
        <v>22740</v>
      </c>
      <c r="E22" s="2" t="inlineStr">
        <is>
          <t>per 1000 pcs</t>
        </is>
      </c>
      <c r="F22" s="2" t="inlineStr">
        <is>
          <t>INR</t>
        </is>
      </c>
      <c r="G22" s="2" t="inlineStr">
        <is>
          <t>excl</t>
        </is>
      </c>
      <c r="H22" s="2" t="inlineStr">
        <is>
          <t>delivered</t>
        </is>
      </c>
      <c r="I22" s="2" t="n">
        <v>22.74</v>
      </c>
      <c r="J22" s="2" t="n">
        <v>22.04</v>
      </c>
      <c r="K22" s="3">
        <f>IF(I22="","",I22/J22-1)</f>
        <v/>
      </c>
      <c r="L22" s="2" t="inlineStr"/>
    </row>
    <row r="23">
      <c r="A23" s="2" t="n">
        <v>5</v>
      </c>
      <c r="B23" s="2" t="inlineStr">
        <is>
          <t>CB-305</t>
        </is>
      </c>
      <c r="C23" s="2" t="inlineStr">
        <is>
          <t>Shree Balaji</t>
        </is>
      </c>
      <c r="D23" s="2" t="n">
        <v>25.31</v>
      </c>
      <c r="E23" s="2" t="inlineStr">
        <is>
          <t>per pc</t>
        </is>
      </c>
      <c r="F23" s="2" t="inlineStr">
        <is>
          <t>INR</t>
        </is>
      </c>
      <c r="G23" s="2" t="inlineStr">
        <is>
          <t>incl 18%</t>
        </is>
      </c>
      <c r="H23" s="2" t="inlineStr">
        <is>
          <t>delivered</t>
        </is>
      </c>
      <c r="I23" s="2" t="n">
        <v>20.81</v>
      </c>
      <c r="J23" s="2" t="n">
        <v>22.04</v>
      </c>
      <c r="K23" s="3">
        <f>IF(I23="","",I23/J23-1)</f>
        <v/>
      </c>
      <c r="L23" s="2" t="inlineStr">
        <is>
          <t>GST-inclusive, stripped 18%; 3% discount applied – conditional on PO &gt; ₹10L</t>
        </is>
      </c>
    </row>
    <row r="24">
      <c r="A24" s="2" t="n">
        <v>5</v>
      </c>
      <c r="B24" s="2" t="inlineStr">
        <is>
          <t>CB-305</t>
        </is>
      </c>
      <c r="C24" s="2" t="inlineStr">
        <is>
          <t>Pacific</t>
        </is>
      </c>
      <c r="D24" s="2" t="n">
        <v>0.273</v>
      </c>
      <c r="E24" s="2" t="inlineStr">
        <is>
          <t>per pc</t>
        </is>
      </c>
      <c r="F24" s="2" t="inlineStr">
        <is>
          <t>USD</t>
        </is>
      </c>
      <c r="G24" s="2" t="inlineStr">
        <is>
          <t>excl</t>
        </is>
      </c>
      <c r="H24" s="2" t="inlineStr">
        <is>
          <t>delivered</t>
        </is>
      </c>
      <c r="I24" s="2" t="n">
        <v>24.02</v>
      </c>
      <c r="J24" s="2" t="n">
        <v>22.04</v>
      </c>
      <c r="K24" s="3">
        <f>IF(I24="","",I24/J24-1)</f>
        <v/>
      </c>
      <c r="L24" s="2" t="inlineStr">
        <is>
          <t>USD @ 88.00 assumed; invoiced at RBI rate on invoice date (FX risk); Validity only 15 days</t>
        </is>
      </c>
    </row>
    <row r="25">
      <c r="A25" s="2" t="n">
        <v>5</v>
      </c>
      <c r="B25" s="2" t="inlineStr">
        <is>
          <t>CB-305</t>
        </is>
      </c>
      <c r="C25" s="2" t="inlineStr">
        <is>
          <t>Gupta</t>
        </is>
      </c>
      <c r="D25" s="2" t="n">
        <v>1875</v>
      </c>
      <c r="E25" s="2" t="inlineStr">
        <is>
          <t>per 100 pcs (plain)</t>
        </is>
      </c>
      <c r="F25" s="2" t="inlineStr">
        <is>
          <t>INR</t>
        </is>
      </c>
      <c r="G25" s="2" t="inlineStr">
        <is>
          <t>excl</t>
        </is>
      </c>
      <c r="H25" s="2" t="inlineStr">
        <is>
          <t>ex-works</t>
        </is>
      </c>
      <c r="I25" s="2" t="n">
        <v>20.96</v>
      </c>
      <c r="J25" s="2" t="n">
        <v>22.04</v>
      </c>
      <c r="K25" s="3">
        <f>IF(I25="","",I25/J25-1)</f>
        <v/>
      </c>
      <c r="L25" s="2" t="inlineStr">
        <is>
          <t>Matched to inch size 20 x 14 x 13 (3.2% max dimension deviation); Paper grade not stated; Ex-works: freight est. ₹2/kg; Plain-box rate + ₹0.50/colour print adder</t>
        </is>
      </c>
    </row>
    <row r="26">
      <c r="A26" s="2" t="n">
        <v>5</v>
      </c>
      <c r="B26" s="2" t="inlineStr">
        <is>
          <t>CB-305</t>
        </is>
      </c>
      <c r="C26" s="2" t="inlineStr">
        <is>
          <t>Om Sai</t>
        </is>
      </c>
      <c r="D26" s="2" t="inlineStr">
        <is>
          <t>₹38/kg</t>
        </is>
      </c>
      <c r="E26" s="2" t="inlineStr">
        <is>
          <t>per kg</t>
        </is>
      </c>
      <c r="F26" s="2" t="inlineStr">
        <is>
          <t>INR</t>
        </is>
      </c>
      <c r="G26" s="2" t="inlineStr">
        <is>
          <t>assumed excl</t>
        </is>
      </c>
      <c r="H26" s="2" t="inlineStr">
        <is>
          <t>extra (est ₹2/kg)</t>
        </is>
      </c>
      <c r="I26" s="2" t="n">
        <v>24.38</v>
      </c>
      <c r="J26" s="2" t="n">
        <v>22.04</v>
      </c>
      <c r="K26" s="3">
        <f>IF(I26="","",I26/J26-1)</f>
        <v/>
      </c>
      <c r="L26" s="2" t="inlineStr">
        <is>
          <t>kg rate applied; print adder assumed same as last year; Freight extra: est. ₹2/kg; GST basis not stated – assumed exclusive</t>
        </is>
      </c>
    </row>
    <row r="27">
      <c r="A27" s="2" t="n">
        <v>6</v>
      </c>
      <c r="B27" s="2" t="inlineStr">
        <is>
          <t>CB-306</t>
        </is>
      </c>
      <c r="C27" s="2" t="inlineStr">
        <is>
          <t>Kraftline</t>
        </is>
      </c>
      <c r="D27" s="2" t="n">
        <v>27315</v>
      </c>
      <c r="E27" s="2" t="inlineStr">
        <is>
          <t>per 1000 pcs</t>
        </is>
      </c>
      <c r="F27" s="2" t="inlineStr">
        <is>
          <t>INR</t>
        </is>
      </c>
      <c r="G27" s="2" t="inlineStr">
        <is>
          <t>excl</t>
        </is>
      </c>
      <c r="H27" s="2" t="inlineStr">
        <is>
          <t>delivered</t>
        </is>
      </c>
      <c r="I27" s="2" t="n">
        <v>27.32</v>
      </c>
      <c r="J27" s="2" t="n">
        <v>26.7</v>
      </c>
      <c r="K27" s="3">
        <f>IF(I27="","",I27/J27-1)</f>
        <v/>
      </c>
      <c r="L27" s="2" t="inlineStr"/>
    </row>
    <row r="28">
      <c r="A28" s="2" t="n">
        <v>6</v>
      </c>
      <c r="B28" s="2" t="inlineStr">
        <is>
          <t>CB-306</t>
        </is>
      </c>
      <c r="C28" s="2" t="inlineStr">
        <is>
          <t>Shree Balaji</t>
        </is>
      </c>
      <c r="D28" s="2" t="n">
        <v>30.93</v>
      </c>
      <c r="E28" s="2" t="inlineStr">
        <is>
          <t>per pc</t>
        </is>
      </c>
      <c r="F28" s="2" t="inlineStr">
        <is>
          <t>INR</t>
        </is>
      </c>
      <c r="G28" s="2" t="inlineStr">
        <is>
          <t>incl 18%</t>
        </is>
      </c>
      <c r="H28" s="2" t="inlineStr">
        <is>
          <t>delivered</t>
        </is>
      </c>
      <c r="I28" s="2" t="n">
        <v>25.43</v>
      </c>
      <c r="J28" s="2" t="n">
        <v>26.7</v>
      </c>
      <c r="K28" s="3">
        <f>IF(I28="","",I28/J28-1)</f>
        <v/>
      </c>
      <c r="L28" s="2" t="inlineStr">
        <is>
          <t>GST-inclusive, stripped 18%; 3% discount applied – conditional on PO &gt; ₹10L</t>
        </is>
      </c>
    </row>
    <row r="29">
      <c r="A29" s="2" t="n">
        <v>6</v>
      </c>
      <c r="B29" s="2" t="inlineStr">
        <is>
          <t>CB-306</t>
        </is>
      </c>
      <c r="C29" s="2" t="inlineStr">
        <is>
          <t>Pacific</t>
        </is>
      </c>
      <c r="D29" s="2" t="n">
        <v>0.337</v>
      </c>
      <c r="E29" s="2" t="inlineStr">
        <is>
          <t>per pc</t>
        </is>
      </c>
      <c r="F29" s="2" t="inlineStr">
        <is>
          <t>USD</t>
        </is>
      </c>
      <c r="G29" s="2" t="inlineStr">
        <is>
          <t>excl</t>
        </is>
      </c>
      <c r="H29" s="2" t="inlineStr">
        <is>
          <t>delivered</t>
        </is>
      </c>
      <c r="I29" s="2" t="n">
        <v>29.66</v>
      </c>
      <c r="J29" s="2" t="n">
        <v>26.7</v>
      </c>
      <c r="K29" s="3">
        <f>IF(I29="","",I29/J29-1)</f>
        <v/>
      </c>
      <c r="L29" s="2" t="inlineStr">
        <is>
          <t>USD @ 88.00 assumed; invoiced at RBI rate on invoice date (FX risk); Validity only 15 days</t>
        </is>
      </c>
    </row>
    <row r="30">
      <c r="A30" s="2" t="n">
        <v>6</v>
      </c>
      <c r="B30" s="2" t="inlineStr">
        <is>
          <t>CB-306</t>
        </is>
      </c>
      <c r="C30" s="2" t="inlineStr">
        <is>
          <t>Gupta</t>
        </is>
      </c>
      <c r="D30" s="2" t="n">
        <v>2320</v>
      </c>
      <c r="E30" s="2" t="inlineStr">
        <is>
          <t>per 100 pcs (plain)</t>
        </is>
      </c>
      <c r="F30" s="2" t="inlineStr">
        <is>
          <t>INR</t>
        </is>
      </c>
      <c r="G30" s="2" t="inlineStr">
        <is>
          <t>excl</t>
        </is>
      </c>
      <c r="H30" s="2" t="inlineStr">
        <is>
          <t>ex-works</t>
        </is>
      </c>
      <c r="I30" s="2" t="n">
        <v>25.2</v>
      </c>
      <c r="J30" s="2" t="n">
        <v>26.7</v>
      </c>
      <c r="K30" s="3">
        <f>IF(I30="","",I30/J30-1)</f>
        <v/>
      </c>
      <c r="L30" s="2" t="inlineStr">
        <is>
          <t>Matched to inch size 22 x 16 x 14 (1.6% max dimension deviation); Paper grade not stated; Ex-works: freight est. ₹2/kg; Plain-box rate + ₹0.50/colour print adder</t>
        </is>
      </c>
    </row>
    <row r="31">
      <c r="A31" s="2" t="n">
        <v>6</v>
      </c>
      <c r="B31" s="2" t="inlineStr">
        <is>
          <t>CB-306</t>
        </is>
      </c>
      <c r="C31" s="2" t="inlineStr">
        <is>
          <t>Om Sai</t>
        </is>
      </c>
      <c r="D31" s="2" t="inlineStr">
        <is>
          <t>₹38/kg</t>
        </is>
      </c>
      <c r="E31" s="2" t="inlineStr">
        <is>
          <t>per kg</t>
        </is>
      </c>
      <c r="F31" s="2" t="inlineStr">
        <is>
          <t>INR</t>
        </is>
      </c>
      <c r="G31" s="2" t="inlineStr">
        <is>
          <t>assumed excl</t>
        </is>
      </c>
      <c r="H31" s="2" t="inlineStr">
        <is>
          <t>extra (est ₹2/kg)</t>
        </is>
      </c>
      <c r="I31" s="2" t="n">
        <v>29.6</v>
      </c>
      <c r="J31" s="2" t="n">
        <v>26.7</v>
      </c>
      <c r="K31" s="3">
        <f>IF(I31="","",I31/J31-1)</f>
        <v/>
      </c>
      <c r="L31" s="2" t="inlineStr">
        <is>
          <t>kg rate applied; print adder assumed same as last year; Freight extra: est. ₹2/kg; GST basis not stated – assumed exclusive</t>
        </is>
      </c>
    </row>
    <row r="32">
      <c r="A32" s="2" t="n">
        <v>7</v>
      </c>
      <c r="B32" s="2" t="inlineStr">
        <is>
          <t>CB-307</t>
        </is>
      </c>
      <c r="C32" s="2" t="inlineStr">
        <is>
          <t>Kraftline</t>
        </is>
      </c>
      <c r="D32" s="2" t="n">
        <v>7120</v>
      </c>
      <c r="E32" s="2" t="inlineStr">
        <is>
          <t>per 1000 pcs</t>
        </is>
      </c>
      <c r="F32" s="2" t="inlineStr">
        <is>
          <t>INR</t>
        </is>
      </c>
      <c r="G32" s="2" t="inlineStr">
        <is>
          <t>excl</t>
        </is>
      </c>
      <c r="H32" s="2" t="inlineStr">
        <is>
          <t>delivered</t>
        </is>
      </c>
      <c r="I32" s="2" t="n">
        <v>7.12</v>
      </c>
      <c r="J32" s="2" t="n">
        <v>7.07</v>
      </c>
      <c r="K32" s="3">
        <f>IF(I32="","",I32/J32-1)</f>
        <v/>
      </c>
      <c r="L32" s="2" t="inlineStr"/>
    </row>
    <row r="33">
      <c r="A33" s="2" t="n">
        <v>7</v>
      </c>
      <c r="B33" s="2" t="inlineStr">
        <is>
          <t>CB-307</t>
        </is>
      </c>
      <c r="C33" s="2" t="inlineStr">
        <is>
          <t>Shree Balaji</t>
        </is>
      </c>
      <c r="D33" s="2" t="n">
        <v>7.99</v>
      </c>
      <c r="E33" s="2" t="inlineStr">
        <is>
          <t>per pc</t>
        </is>
      </c>
      <c r="F33" s="2" t="inlineStr">
        <is>
          <t>INR</t>
        </is>
      </c>
      <c r="G33" s="2" t="inlineStr">
        <is>
          <t>incl 18%</t>
        </is>
      </c>
      <c r="H33" s="2" t="inlineStr">
        <is>
          <t>delivered</t>
        </is>
      </c>
      <c r="I33" s="2" t="n">
        <v>6.57</v>
      </c>
      <c r="J33" s="2" t="n">
        <v>7.07</v>
      </c>
      <c r="K33" s="3">
        <f>IF(I33="","",I33/J33-1)</f>
        <v/>
      </c>
      <c r="L33" s="2" t="inlineStr">
        <is>
          <t>GST-inclusive, stripped 18%; 3% discount applied – conditional on PO &gt; ₹10L</t>
        </is>
      </c>
    </row>
    <row r="34">
      <c r="A34" s="2" t="n">
        <v>7</v>
      </c>
      <c r="B34" s="2" t="inlineStr">
        <is>
          <t>CB-307</t>
        </is>
      </c>
      <c r="C34" s="2" t="inlineStr">
        <is>
          <t>Pacific</t>
        </is>
      </c>
      <c r="D34" s="2" t="n">
        <v>0.089</v>
      </c>
      <c r="E34" s="2" t="inlineStr">
        <is>
          <t>per pc</t>
        </is>
      </c>
      <c r="F34" s="2" t="inlineStr">
        <is>
          <t>USD</t>
        </is>
      </c>
      <c r="G34" s="2" t="inlineStr">
        <is>
          <t>excl</t>
        </is>
      </c>
      <c r="H34" s="2" t="inlineStr">
        <is>
          <t>delivered</t>
        </is>
      </c>
      <c r="I34" s="2" t="n">
        <v>7.83</v>
      </c>
      <c r="J34" s="2" t="n">
        <v>7.07</v>
      </c>
      <c r="K34" s="3">
        <f>IF(I34="","",I34/J34-1)</f>
        <v/>
      </c>
      <c r="L34" s="2" t="inlineStr">
        <is>
          <t>USD @ 88.00 assumed; invoiced at RBI rate on invoice date (FX risk); Validity only 15 days</t>
        </is>
      </c>
    </row>
    <row r="35">
      <c r="A35" s="2" t="n">
        <v>7</v>
      </c>
      <c r="B35" s="2" t="inlineStr">
        <is>
          <t>CB-307</t>
        </is>
      </c>
      <c r="C35" s="2" t="inlineStr">
        <is>
          <t>Gupta</t>
        </is>
      </c>
      <c r="D35" s="2" t="n">
        <v>530</v>
      </c>
      <c r="E35" s="2" t="inlineStr">
        <is>
          <t>per 100 pcs (plain)</t>
        </is>
      </c>
      <c r="F35" s="2" t="inlineStr">
        <is>
          <t>INR</t>
        </is>
      </c>
      <c r="G35" s="2" t="inlineStr">
        <is>
          <t>excl</t>
        </is>
      </c>
      <c r="H35" s="2" t="inlineStr">
        <is>
          <t>ex-works</t>
        </is>
      </c>
      <c r="I35" s="2" t="n">
        <v>6.64</v>
      </c>
      <c r="J35" s="2" t="n">
        <v>7.07</v>
      </c>
      <c r="K35" s="3">
        <f>IF(I35="","",I35/J35-1)</f>
        <v/>
      </c>
      <c r="L35" s="2" t="inlineStr">
        <is>
          <t>Matched to inch size 10 x 8 x 6 (1.6% max dimension deviation); Paper grade not stated; Ex-works: freight est. ₹2/kg; Plain-box rate + ₹0.50/colour print adder</t>
        </is>
      </c>
    </row>
    <row r="36">
      <c r="A36" s="2" t="n">
        <v>7</v>
      </c>
      <c r="B36" s="2" t="inlineStr">
        <is>
          <t>CB-307</t>
        </is>
      </c>
      <c r="C36" s="2" t="inlineStr">
        <is>
          <t>Om Sai</t>
        </is>
      </c>
      <c r="D36" s="2" t="inlineStr">
        <is>
          <t>₹38/kg</t>
        </is>
      </c>
      <c r="E36" s="2" t="inlineStr">
        <is>
          <t>per kg</t>
        </is>
      </c>
      <c r="F36" s="2" t="inlineStr">
        <is>
          <t>INR</t>
        </is>
      </c>
      <c r="G36" s="2" t="inlineStr">
        <is>
          <t>assumed excl</t>
        </is>
      </c>
      <c r="H36" s="2" t="inlineStr">
        <is>
          <t>extra (est ₹2/kg)</t>
        </is>
      </c>
      <c r="I36" s="2" t="n">
        <v>7.74</v>
      </c>
      <c r="J36" s="2" t="n">
        <v>7.07</v>
      </c>
      <c r="K36" s="3">
        <f>IF(I36="","",I36/J36-1)</f>
        <v/>
      </c>
      <c r="L36" s="2" t="inlineStr">
        <is>
          <t>kg rate applied; print adder assumed same as last year; Freight extra: est. ₹2/kg; GST basis not stated – assumed exclusive</t>
        </is>
      </c>
    </row>
    <row r="37">
      <c r="A37" s="2" t="n">
        <v>8</v>
      </c>
      <c r="B37" s="2" t="inlineStr">
        <is>
          <t>CB-308</t>
        </is>
      </c>
      <c r="C37" s="2" t="inlineStr">
        <is>
          <t>Kraftline</t>
        </is>
      </c>
      <c r="D37" s="2" t="n">
        <v>7625</v>
      </c>
      <c r="E37" s="2" t="inlineStr">
        <is>
          <t>per 1000 pcs</t>
        </is>
      </c>
      <c r="F37" s="2" t="inlineStr">
        <is>
          <t>INR</t>
        </is>
      </c>
      <c r="G37" s="2" t="inlineStr">
        <is>
          <t>excl</t>
        </is>
      </c>
      <c r="H37" s="2" t="inlineStr">
        <is>
          <t>delivered</t>
        </is>
      </c>
      <c r="I37" s="2" t="n">
        <v>7.62</v>
      </c>
      <c r="J37" s="2" t="n">
        <v>7.4</v>
      </c>
      <c r="K37" s="3">
        <f>IF(I37="","",I37/J37-1)</f>
        <v/>
      </c>
      <c r="L37" s="2" t="inlineStr"/>
    </row>
    <row r="38">
      <c r="A38" s="2" t="n">
        <v>8</v>
      </c>
      <c r="B38" s="2" t="inlineStr">
        <is>
          <t>CB-308</t>
        </is>
      </c>
      <c r="C38" s="2" t="inlineStr">
        <is>
          <t>Shree Balaji</t>
        </is>
      </c>
      <c r="D38" s="2" t="n">
        <v>8.359999999999999</v>
      </c>
      <c r="E38" s="2" t="inlineStr">
        <is>
          <t>per pc</t>
        </is>
      </c>
      <c r="F38" s="2" t="inlineStr">
        <is>
          <t>INR</t>
        </is>
      </c>
      <c r="G38" s="2" t="inlineStr">
        <is>
          <t>incl 18%</t>
        </is>
      </c>
      <c r="H38" s="2" t="inlineStr">
        <is>
          <t>delivered</t>
        </is>
      </c>
      <c r="I38" s="2" t="n">
        <v>6.87</v>
      </c>
      <c r="J38" s="2" t="n">
        <v>7.4</v>
      </c>
      <c r="K38" s="3">
        <f>IF(I38="","",I38/J38-1)</f>
        <v/>
      </c>
      <c r="L38" s="2" t="inlineStr">
        <is>
          <t>GST-inclusive, stripped 18%; 3% discount applied – conditional on PO &gt; ₹10L</t>
        </is>
      </c>
    </row>
    <row r="39">
      <c r="A39" s="2" t="n">
        <v>8</v>
      </c>
      <c r="B39" s="2" t="inlineStr">
        <is>
          <t>CB-308</t>
        </is>
      </c>
      <c r="C39" s="2" t="inlineStr">
        <is>
          <t>Pacific</t>
        </is>
      </c>
      <c r="D39" s="2" t="n">
        <v>0.093</v>
      </c>
      <c r="E39" s="2" t="inlineStr">
        <is>
          <t>per pc</t>
        </is>
      </c>
      <c r="F39" s="2" t="inlineStr">
        <is>
          <t>USD</t>
        </is>
      </c>
      <c r="G39" s="2" t="inlineStr">
        <is>
          <t>excl</t>
        </is>
      </c>
      <c r="H39" s="2" t="inlineStr">
        <is>
          <t>delivered</t>
        </is>
      </c>
      <c r="I39" s="2" t="n">
        <v>8.18</v>
      </c>
      <c r="J39" s="2" t="n">
        <v>7.4</v>
      </c>
      <c r="K39" s="3">
        <f>IF(I39="","",I39/J39-1)</f>
        <v/>
      </c>
      <c r="L39" s="2" t="inlineStr">
        <is>
          <t>USD @ 88.00 assumed; invoiced at RBI rate on invoice date (FX risk); Validity only 15 days</t>
        </is>
      </c>
    </row>
    <row r="40">
      <c r="A40" s="2" t="n">
        <v>8</v>
      </c>
      <c r="B40" s="2" t="inlineStr">
        <is>
          <t>CB-308</t>
        </is>
      </c>
      <c r="C40" s="2" t="inlineStr">
        <is>
          <t>Gupta</t>
        </is>
      </c>
      <c r="D40" s="2" t="n">
        <v>575</v>
      </c>
      <c r="E40" s="2" t="inlineStr">
        <is>
          <t>per 100 pcs (plain)</t>
        </is>
      </c>
      <c r="F40" s="2" t="inlineStr">
        <is>
          <t>INR</t>
        </is>
      </c>
      <c r="G40" s="2" t="inlineStr">
        <is>
          <t>excl</t>
        </is>
      </c>
      <c r="H40" s="2" t="inlineStr">
        <is>
          <t>ex-works</t>
        </is>
      </c>
      <c r="I40" s="2" t="n">
        <v>7.12</v>
      </c>
      <c r="J40" s="2" t="n">
        <v>7.4</v>
      </c>
      <c r="K40" s="3">
        <f>IF(I40="","",I40/J40-1)</f>
        <v/>
      </c>
      <c r="L40" s="2" t="inlineStr">
        <is>
          <t>Matched to inch size 12 x 9 x 4 (3.9% max dimension deviation); Paper grade not stated; Ex-works: freight est. ₹2/kg; Plain-box rate + ₹0.50/colour print adder</t>
        </is>
      </c>
    </row>
    <row r="41">
      <c r="A41" s="2" t="n">
        <v>8</v>
      </c>
      <c r="B41" s="2" t="inlineStr">
        <is>
          <t>CB-308</t>
        </is>
      </c>
      <c r="C41" s="2" t="inlineStr">
        <is>
          <t>Om Sai</t>
        </is>
      </c>
      <c r="D41" s="2" t="inlineStr">
        <is>
          <t>₹38/kg</t>
        </is>
      </c>
      <c r="E41" s="2" t="inlineStr">
        <is>
          <t>per kg</t>
        </is>
      </c>
      <c r="F41" s="2" t="inlineStr">
        <is>
          <t>INR</t>
        </is>
      </c>
      <c r="G41" s="2" t="inlineStr">
        <is>
          <t>assumed excl</t>
        </is>
      </c>
      <c r="H41" s="2" t="inlineStr">
        <is>
          <t>extra (est ₹2/kg)</t>
        </is>
      </c>
      <c r="I41" s="2" t="n">
        <v>8.1</v>
      </c>
      <c r="J41" s="2" t="n">
        <v>7.4</v>
      </c>
      <c r="K41" s="3">
        <f>IF(I41="","",I41/J41-1)</f>
        <v/>
      </c>
      <c r="L41" s="2" t="inlineStr">
        <is>
          <t>kg rate applied; print adder assumed same as last year; Freight extra: est. ₹2/kg; GST basis not stated – assumed exclusive</t>
        </is>
      </c>
    </row>
    <row r="42">
      <c r="A42" s="2" t="n">
        <v>9</v>
      </c>
      <c r="B42" s="2" t="inlineStr">
        <is>
          <t>CB-309</t>
        </is>
      </c>
      <c r="C42" s="2" t="inlineStr">
        <is>
          <t>Kraftline</t>
        </is>
      </c>
      <c r="D42" s="2" t="n">
        <v>11510</v>
      </c>
      <c r="E42" s="2" t="inlineStr">
        <is>
          <t>per 1000 pcs</t>
        </is>
      </c>
      <c r="F42" s="2" t="inlineStr">
        <is>
          <t>INR</t>
        </is>
      </c>
      <c r="G42" s="2" t="inlineStr">
        <is>
          <t>excl</t>
        </is>
      </c>
      <c r="H42" s="2" t="inlineStr">
        <is>
          <t>delivered</t>
        </is>
      </c>
      <c r="I42" s="2" t="n">
        <v>11.51</v>
      </c>
      <c r="J42" s="2" t="n">
        <v>11.44</v>
      </c>
      <c r="K42" s="3">
        <f>IF(I42="","",I42/J42-1)</f>
        <v/>
      </c>
      <c r="L42" s="2" t="inlineStr"/>
    </row>
    <row r="43">
      <c r="A43" s="2" t="n">
        <v>9</v>
      </c>
      <c r="B43" s="2" t="inlineStr">
        <is>
          <t>CB-309</t>
        </is>
      </c>
      <c r="C43" s="2" t="inlineStr">
        <is>
          <t>Shree Balaji</t>
        </is>
      </c>
      <c r="D43" s="2" t="n">
        <v>13.03</v>
      </c>
      <c r="E43" s="2" t="inlineStr">
        <is>
          <t>per pc</t>
        </is>
      </c>
      <c r="F43" s="2" t="inlineStr">
        <is>
          <t>INR</t>
        </is>
      </c>
      <c r="G43" s="2" t="inlineStr">
        <is>
          <t>incl 18%</t>
        </is>
      </c>
      <c r="H43" s="2" t="inlineStr">
        <is>
          <t>delivered</t>
        </is>
      </c>
      <c r="I43" s="2" t="n">
        <v>10.71</v>
      </c>
      <c r="J43" s="2" t="n">
        <v>11.44</v>
      </c>
      <c r="K43" s="3">
        <f>IF(I43="","",I43/J43-1)</f>
        <v/>
      </c>
      <c r="L43" s="2" t="inlineStr">
        <is>
          <t>GST-inclusive, stripped 18%; 3% discount applied – conditional on PO &gt; ₹10L</t>
        </is>
      </c>
    </row>
    <row r="44">
      <c r="A44" s="2" t="n">
        <v>9</v>
      </c>
      <c r="B44" s="2" t="inlineStr">
        <is>
          <t>CB-309</t>
        </is>
      </c>
      <c r="C44" s="2" t="inlineStr">
        <is>
          <t>Pacific</t>
        </is>
      </c>
      <c r="D44" s="2" t="n">
        <v>0.143</v>
      </c>
      <c r="E44" s="2" t="inlineStr">
        <is>
          <t>per pc</t>
        </is>
      </c>
      <c r="F44" s="2" t="inlineStr">
        <is>
          <t>USD</t>
        </is>
      </c>
      <c r="G44" s="2" t="inlineStr">
        <is>
          <t>excl</t>
        </is>
      </c>
      <c r="H44" s="2" t="inlineStr">
        <is>
          <t>delivered</t>
        </is>
      </c>
      <c r="I44" s="2" t="n">
        <v>12.58</v>
      </c>
      <c r="J44" s="2" t="n">
        <v>11.44</v>
      </c>
      <c r="K44" s="3">
        <f>IF(I44="","",I44/J44-1)</f>
        <v/>
      </c>
      <c r="L44" s="2" t="inlineStr">
        <is>
          <t>USD @ 88.00 assumed; invoiced at RBI rate on invoice date (FX risk); Validity only 15 days</t>
        </is>
      </c>
    </row>
    <row r="45">
      <c r="A45" s="2" t="n">
        <v>9</v>
      </c>
      <c r="B45" s="2" t="inlineStr">
        <is>
          <t>CB-309</t>
        </is>
      </c>
      <c r="C45" s="2" t="inlineStr">
        <is>
          <t>Gupta</t>
        </is>
      </c>
      <c r="D45" s="2" t="n">
        <v>915</v>
      </c>
      <c r="E45" s="2" t="inlineStr">
        <is>
          <t>per 100 pcs (plain)</t>
        </is>
      </c>
      <c r="F45" s="2" t="inlineStr">
        <is>
          <t>INR</t>
        </is>
      </c>
      <c r="G45" s="2" t="inlineStr">
        <is>
          <t>excl</t>
        </is>
      </c>
      <c r="H45" s="2" t="inlineStr">
        <is>
          <t>ex-works</t>
        </is>
      </c>
      <c r="I45" s="2" t="n">
        <v>10.74</v>
      </c>
      <c r="J45" s="2" t="n">
        <v>11.44</v>
      </c>
      <c r="K45" s="3">
        <f>IF(I45="","",I45/J45-1)</f>
        <v/>
      </c>
      <c r="L45" s="2" t="inlineStr">
        <is>
          <t>Matched to inch size 15 x 11 x 6 (8.9% max dimension deviation); Paper grade not stated; Ex-works: freight est. ₹2/kg; LOW CONFIDENCE match – size deviation &gt;5%; Plain-box rate + ₹0.50/colour print adder</t>
        </is>
      </c>
    </row>
    <row r="46">
      <c r="A46" s="2" t="n">
        <v>9</v>
      </c>
      <c r="B46" s="2" t="inlineStr">
        <is>
          <t>CB-309</t>
        </is>
      </c>
      <c r="C46" s="2" t="inlineStr">
        <is>
          <t>Om Sai</t>
        </is>
      </c>
      <c r="D46" s="2" t="inlineStr">
        <is>
          <t>₹38/kg</t>
        </is>
      </c>
      <c r="E46" s="2" t="inlineStr">
        <is>
          <t>per kg</t>
        </is>
      </c>
      <c r="F46" s="2" t="inlineStr">
        <is>
          <t>INR</t>
        </is>
      </c>
      <c r="G46" s="2" t="inlineStr">
        <is>
          <t>assumed excl</t>
        </is>
      </c>
      <c r="H46" s="2" t="inlineStr">
        <is>
          <t>extra (est ₹2/kg)</t>
        </is>
      </c>
      <c r="I46" s="2" t="n">
        <v>12.58</v>
      </c>
      <c r="J46" s="2" t="n">
        <v>11.44</v>
      </c>
      <c r="K46" s="3">
        <f>IF(I46="","",I46/J46-1)</f>
        <v/>
      </c>
      <c r="L46" s="2" t="inlineStr">
        <is>
          <t>kg rate applied; print adder assumed same as last year; Freight extra: est. ₹2/kg; GST basis not stated – assumed exclusive</t>
        </is>
      </c>
    </row>
    <row r="47">
      <c r="A47" s="2" t="n">
        <v>10</v>
      </c>
      <c r="B47" s="2" t="inlineStr">
        <is>
          <t>CB-310</t>
        </is>
      </c>
      <c r="C47" s="2" t="inlineStr">
        <is>
          <t>Kraftline</t>
        </is>
      </c>
      <c r="D47" s="2" t="n">
        <v>11475</v>
      </c>
      <c r="E47" s="2" t="inlineStr">
        <is>
          <t>per 1000 pcs</t>
        </is>
      </c>
      <c r="F47" s="2" t="inlineStr">
        <is>
          <t>INR</t>
        </is>
      </c>
      <c r="G47" s="2" t="inlineStr">
        <is>
          <t>excl</t>
        </is>
      </c>
      <c r="H47" s="2" t="inlineStr">
        <is>
          <t>delivered</t>
        </is>
      </c>
      <c r="I47" s="2" t="n">
        <v>11.47</v>
      </c>
      <c r="J47" s="2" t="n">
        <v>11.18</v>
      </c>
      <c r="K47" s="3">
        <f>IF(I47="","",I47/J47-1)</f>
        <v/>
      </c>
      <c r="L47" s="2" t="inlineStr"/>
    </row>
    <row r="48">
      <c r="A48" s="2" t="n">
        <v>10</v>
      </c>
      <c r="B48" s="2" t="inlineStr">
        <is>
          <t>CB-310</t>
        </is>
      </c>
      <c r="C48" s="2" t="inlineStr">
        <is>
          <t>Shree Balaji</t>
        </is>
      </c>
      <c r="D48" s="2" t="n">
        <v>13.04</v>
      </c>
      <c r="E48" s="2" t="inlineStr">
        <is>
          <t>per pc</t>
        </is>
      </c>
      <c r="F48" s="2" t="inlineStr">
        <is>
          <t>INR</t>
        </is>
      </c>
      <c r="G48" s="2" t="inlineStr">
        <is>
          <t>incl 18%</t>
        </is>
      </c>
      <c r="H48" s="2" t="inlineStr">
        <is>
          <t>delivered</t>
        </is>
      </c>
      <c r="I48" s="2" t="n">
        <v>10.72</v>
      </c>
      <c r="J48" s="2" t="n">
        <v>11.18</v>
      </c>
      <c r="K48" s="3">
        <f>IF(I48="","",I48/J48-1)</f>
        <v/>
      </c>
      <c r="L48" s="2" t="inlineStr">
        <is>
          <t>GST-inclusive, stripped 18%; 3% discount applied – conditional on PO &gt; ₹10L</t>
        </is>
      </c>
    </row>
    <row r="49">
      <c r="A49" s="2" t="n">
        <v>10</v>
      </c>
      <c r="B49" s="2" t="inlineStr">
        <is>
          <t>CB-310</t>
        </is>
      </c>
      <c r="C49" s="2" t="inlineStr">
        <is>
          <t>Pacific</t>
        </is>
      </c>
      <c r="D49" s="2" t="n">
        <v>0.142</v>
      </c>
      <c r="E49" s="2" t="inlineStr">
        <is>
          <t>per pc</t>
        </is>
      </c>
      <c r="F49" s="2" t="inlineStr">
        <is>
          <t>USD</t>
        </is>
      </c>
      <c r="G49" s="2" t="inlineStr">
        <is>
          <t>excl</t>
        </is>
      </c>
      <c r="H49" s="2" t="inlineStr">
        <is>
          <t>delivered</t>
        </is>
      </c>
      <c r="I49" s="2" t="n">
        <v>12.5</v>
      </c>
      <c r="J49" s="2" t="n">
        <v>11.18</v>
      </c>
      <c r="K49" s="3">
        <f>IF(I49="","",I49/J49-1)</f>
        <v/>
      </c>
      <c r="L49" s="2" t="inlineStr">
        <is>
          <t>USD @ 88.00 assumed; invoiced at RBI rate on invoice date (FX risk); Validity only 15 days</t>
        </is>
      </c>
    </row>
    <row r="50">
      <c r="A50" s="2" t="n">
        <v>10</v>
      </c>
      <c r="B50" s="2" t="inlineStr">
        <is>
          <t>CB-310</t>
        </is>
      </c>
      <c r="C50" s="2" t="inlineStr">
        <is>
          <t>Gupta</t>
        </is>
      </c>
      <c r="D50" s="2" t="n">
        <v>995</v>
      </c>
      <c r="E50" s="2" t="inlineStr">
        <is>
          <t>per 100 pcs (plain)</t>
        </is>
      </c>
      <c r="F50" s="2" t="inlineStr">
        <is>
          <t>INR</t>
        </is>
      </c>
      <c r="G50" s="2" t="inlineStr">
        <is>
          <t>excl</t>
        </is>
      </c>
      <c r="H50" s="2" t="inlineStr">
        <is>
          <t>ex-works</t>
        </is>
      </c>
      <c r="I50" s="2" t="n">
        <v>10.59</v>
      </c>
      <c r="J50" s="2" t="n">
        <v>11.18</v>
      </c>
      <c r="K50" s="3">
        <f>IF(I50="","",I50/J50-1)</f>
        <v/>
      </c>
      <c r="L50" s="2" t="inlineStr">
        <is>
          <t>Matched to inch size 14 x 10 x 10 (1.6% max dimension deviation); Paper grade not stated; Ex-works: freight est. ₹2/kg</t>
        </is>
      </c>
    </row>
    <row r="51">
      <c r="A51" s="2" t="n">
        <v>10</v>
      </c>
      <c r="B51" s="2" t="inlineStr">
        <is>
          <t>CB-310</t>
        </is>
      </c>
      <c r="C51" s="2" t="inlineStr">
        <is>
          <t>Om Sai</t>
        </is>
      </c>
      <c r="D51" s="2" t="inlineStr">
        <is>
          <t>₹38/kg</t>
        </is>
      </c>
      <c r="E51" s="2" t="inlineStr">
        <is>
          <t>per kg</t>
        </is>
      </c>
      <c r="F51" s="2" t="inlineStr">
        <is>
          <t>INR</t>
        </is>
      </c>
      <c r="G51" s="2" t="inlineStr">
        <is>
          <t>assumed excl</t>
        </is>
      </c>
      <c r="H51" s="2" t="inlineStr">
        <is>
          <t>extra (est ₹2/kg)</t>
        </is>
      </c>
      <c r="I51" s="2" t="n">
        <v>12.4</v>
      </c>
      <c r="J51" s="2" t="n">
        <v>11.18</v>
      </c>
      <c r="K51" s="3">
        <f>IF(I51="","",I51/J51-1)</f>
        <v/>
      </c>
      <c r="L51" s="2" t="inlineStr">
        <is>
          <t>kg rate applied; print adder assumed same as last year; Freight extra: est. ₹2/kg; GST basis not stated – assumed exclusive</t>
        </is>
      </c>
    </row>
    <row r="52">
      <c r="A52" s="2" t="n">
        <v>11</v>
      </c>
      <c r="B52" s="2" t="inlineStr">
        <is>
          <t>CB-501</t>
        </is>
      </c>
      <c r="C52" s="2" t="inlineStr">
        <is>
          <t>Kraftline</t>
        </is>
      </c>
      <c r="D52" s="2" t="n">
        <v>22060</v>
      </c>
      <c r="E52" s="2" t="inlineStr">
        <is>
          <t>per 1000 pcs</t>
        </is>
      </c>
      <c r="F52" s="2" t="inlineStr">
        <is>
          <t>INR</t>
        </is>
      </c>
      <c r="G52" s="2" t="inlineStr">
        <is>
          <t>excl</t>
        </is>
      </c>
      <c r="H52" s="2" t="inlineStr">
        <is>
          <t>delivered</t>
        </is>
      </c>
      <c r="I52" s="2" t="n">
        <v>22.06</v>
      </c>
      <c r="J52" s="2" t="n">
        <v>23.24</v>
      </c>
      <c r="K52" s="3">
        <f>IF(I52="","",I52/J52-1)</f>
        <v/>
      </c>
      <c r="L52" s="2" t="inlineStr"/>
    </row>
    <row r="53">
      <c r="A53" s="2" t="n">
        <v>11</v>
      </c>
      <c r="B53" s="2" t="inlineStr">
        <is>
          <t>CB-501</t>
        </is>
      </c>
      <c r="C53" s="2" t="inlineStr">
        <is>
          <t>Shree Balaji</t>
        </is>
      </c>
      <c r="D53" s="2" t="n">
        <v>49.02</v>
      </c>
      <c r="E53" s="2" t="inlineStr">
        <is>
          <t>per kg</t>
        </is>
      </c>
      <c r="F53" s="2" t="inlineStr">
        <is>
          <t>INR</t>
        </is>
      </c>
      <c r="G53" s="2" t="inlineStr">
        <is>
          <t>incl 18%</t>
        </is>
      </c>
      <c r="H53" s="2" t="inlineStr">
        <is>
          <t>delivered</t>
        </is>
      </c>
      <c r="I53" s="2" t="n">
        <v>22.81</v>
      </c>
      <c r="J53" s="2" t="n">
        <v>23.24</v>
      </c>
      <c r="K53" s="3">
        <f>IF(I53="","",I53/J53-1)</f>
        <v/>
      </c>
      <c r="L53" s="2" t="inlineStr">
        <is>
          <t>GST-inclusive, stripped 18%; 3% discount applied – conditional on PO &gt; ₹10L; Per-kg rate × buyer's computed box weight; vendor weight unconfirmed</t>
        </is>
      </c>
    </row>
    <row r="54">
      <c r="A54" s="2" t="n">
        <v>11</v>
      </c>
      <c r="B54" s="2" t="inlineStr">
        <is>
          <t>CB-501</t>
        </is>
      </c>
      <c r="C54" s="2" t="inlineStr">
        <is>
          <t>Pacific</t>
        </is>
      </c>
      <c r="D54" s="2" t="n">
        <v>0.283</v>
      </c>
      <c r="E54" s="2" t="inlineStr">
        <is>
          <t>per pc</t>
        </is>
      </c>
      <c r="F54" s="2" t="inlineStr">
        <is>
          <t>USD</t>
        </is>
      </c>
      <c r="G54" s="2" t="inlineStr">
        <is>
          <t>excl</t>
        </is>
      </c>
      <c r="H54" s="2" t="inlineStr">
        <is>
          <t>delivered</t>
        </is>
      </c>
      <c r="I54" s="2" t="n">
        <v>24.9</v>
      </c>
      <c r="J54" s="2" t="n">
        <v>23.24</v>
      </c>
      <c r="K54" s="3">
        <f>IF(I54="","",I54/J54-1)</f>
        <v/>
      </c>
      <c r="L54" s="2" t="inlineStr">
        <is>
          <t>USD @ 88.00 assumed; invoiced at RBI rate on invoice date (FX risk); Validity only 15 days</t>
        </is>
      </c>
    </row>
    <row r="55">
      <c r="A55" s="2" t="n">
        <v>11</v>
      </c>
      <c r="B55" s="2" t="inlineStr">
        <is>
          <t>CB-501</t>
        </is>
      </c>
      <c r="C55" s="2" t="inlineStr">
        <is>
          <t>Gupta</t>
        </is>
      </c>
      <c r="D55" s="2" t="n">
        <v>2190</v>
      </c>
      <c r="E55" s="2" t="inlineStr">
        <is>
          <t>per 100 pcs (plain)</t>
        </is>
      </c>
      <c r="F55" s="2" t="inlineStr">
        <is>
          <t>INR</t>
        </is>
      </c>
      <c r="G55" s="2" t="inlineStr">
        <is>
          <t>excl</t>
        </is>
      </c>
      <c r="H55" s="2" t="inlineStr">
        <is>
          <t>ex-works</t>
        </is>
      </c>
      <c r="I55" s="2" t="n">
        <v>23.58</v>
      </c>
      <c r="J55" s="2" t="n">
        <v>23.24</v>
      </c>
      <c r="K55" s="3">
        <f>IF(I55="","",I55/J55-1)</f>
        <v/>
      </c>
      <c r="L55" s="2" t="inlineStr">
        <is>
          <t>Matched to inch size 13 x 10 x 12 (5.1% max dimension deviation); Paper grade not stated; Ex-works: freight est. ₹2/kg; LOW CONFIDENCE match – size deviation &gt;5%; Handwritten correction (struck 2065, written 2190); Plain-box rate + ₹0.50/colour print adder</t>
        </is>
      </c>
    </row>
    <row r="56">
      <c r="A56" s="2" t="n">
        <v>11</v>
      </c>
      <c r="B56" s="2" t="inlineStr">
        <is>
          <t>CB-501</t>
        </is>
      </c>
      <c r="C56" s="2" t="inlineStr">
        <is>
          <t>Om Sai</t>
        </is>
      </c>
      <c r="D56" s="2" t="inlineStr">
        <is>
          <t>₹42/kg</t>
        </is>
      </c>
      <c r="E56" s="2" t="inlineStr">
        <is>
          <t>per kg</t>
        </is>
      </c>
      <c r="F56" s="2" t="inlineStr">
        <is>
          <t>INR</t>
        </is>
      </c>
      <c r="G56" s="2" t="inlineStr">
        <is>
          <t>assumed excl</t>
        </is>
      </c>
      <c r="H56" s="2" t="inlineStr">
        <is>
          <t>extra (est ₹2/kg)</t>
        </is>
      </c>
      <c r="I56" s="2" t="n">
        <v>25.5</v>
      </c>
      <c r="J56" s="2" t="n">
        <v>23.24</v>
      </c>
      <c r="K56" s="3">
        <f>IF(I56="","",I56/J56-1)</f>
        <v/>
      </c>
      <c r="L56" s="2" t="inlineStr">
        <is>
          <t>kg rate applied; print adder assumed same as last year; Freight extra: est. ₹2/kg; GST basis not stated – assumed exclusive</t>
        </is>
      </c>
    </row>
    <row r="57">
      <c r="A57" s="2" t="n">
        <v>12</v>
      </c>
      <c r="B57" s="2" t="inlineStr">
        <is>
          <t>CB-502</t>
        </is>
      </c>
      <c r="C57" s="2" t="inlineStr">
        <is>
          <t>Kraftline</t>
        </is>
      </c>
      <c r="D57" s="2" t="n">
        <v>32915</v>
      </c>
      <c r="E57" s="2" t="inlineStr">
        <is>
          <t>per 1000 pcs</t>
        </is>
      </c>
      <c r="F57" s="2" t="inlineStr">
        <is>
          <t>INR</t>
        </is>
      </c>
      <c r="G57" s="2" t="inlineStr">
        <is>
          <t>excl</t>
        </is>
      </c>
      <c r="H57" s="2" t="inlineStr">
        <is>
          <t>delivered</t>
        </is>
      </c>
      <c r="I57" s="2" t="n">
        <v>32.91</v>
      </c>
      <c r="J57" s="2" t="n">
        <v>34.64</v>
      </c>
      <c r="K57" s="3">
        <f>IF(I57="","",I57/J57-1)</f>
        <v/>
      </c>
      <c r="L57" s="2" t="inlineStr"/>
    </row>
    <row r="58">
      <c r="A58" s="2" t="n">
        <v>12</v>
      </c>
      <c r="B58" s="2" t="inlineStr">
        <is>
          <t>CB-502</t>
        </is>
      </c>
      <c r="C58" s="2" t="inlineStr">
        <is>
          <t>Shree Balaji</t>
        </is>
      </c>
      <c r="D58" s="2" t="n">
        <v>48.32</v>
      </c>
      <c r="E58" s="2" t="inlineStr">
        <is>
          <t>per kg</t>
        </is>
      </c>
      <c r="F58" s="2" t="inlineStr">
        <is>
          <t>INR</t>
        </is>
      </c>
      <c r="G58" s="2" t="inlineStr">
        <is>
          <t>incl 18%</t>
        </is>
      </c>
      <c r="H58" s="2" t="inlineStr">
        <is>
          <t>delivered</t>
        </is>
      </c>
      <c r="I58" s="2" t="n">
        <v>33.8</v>
      </c>
      <c r="J58" s="2" t="n">
        <v>34.64</v>
      </c>
      <c r="K58" s="3">
        <f>IF(I58="","",I58/J58-1)</f>
        <v/>
      </c>
      <c r="L58" s="2" t="inlineStr">
        <is>
          <t>GST-inclusive, stripped 18%; 3% discount applied – conditional on PO &gt; ₹10L; Per-kg rate × buyer's computed box weight; vendor weight unconfirmed</t>
        </is>
      </c>
    </row>
    <row r="59">
      <c r="A59" s="2" t="n">
        <v>12</v>
      </c>
      <c r="B59" s="2" t="inlineStr">
        <is>
          <t>CB-502</t>
        </is>
      </c>
      <c r="C59" s="2" t="inlineStr">
        <is>
          <t>Pacific</t>
        </is>
      </c>
      <c r="D59" s="2" t="n">
        <v>0.413</v>
      </c>
      <c r="E59" s="2" t="inlineStr">
        <is>
          <t>per pc</t>
        </is>
      </c>
      <c r="F59" s="2" t="inlineStr">
        <is>
          <t>USD</t>
        </is>
      </c>
      <c r="G59" s="2" t="inlineStr">
        <is>
          <t>excl</t>
        </is>
      </c>
      <c r="H59" s="2" t="inlineStr">
        <is>
          <t>delivered</t>
        </is>
      </c>
      <c r="I59" s="2" t="n">
        <v>36.34</v>
      </c>
      <c r="J59" s="2" t="n">
        <v>34.64</v>
      </c>
      <c r="K59" s="3">
        <f>IF(I59="","",I59/J59-1)</f>
        <v/>
      </c>
      <c r="L59" s="2" t="inlineStr">
        <is>
          <t>USD @ 88.00 assumed; invoiced at RBI rate on invoice date (FX risk); Validity only 15 days</t>
        </is>
      </c>
    </row>
    <row r="60">
      <c r="A60" s="2" t="n">
        <v>12</v>
      </c>
      <c r="B60" s="2" t="inlineStr">
        <is>
          <t>CB-502</t>
        </is>
      </c>
      <c r="C60" s="2" t="inlineStr">
        <is>
          <t>Gupta</t>
        </is>
      </c>
      <c r="D60" s="2" t="inlineStr">
        <is>
          <t>NOT QUOTED</t>
        </is>
      </c>
      <c r="E60" s="2" t="inlineStr"/>
      <c r="F60" s="2" t="inlineStr"/>
      <c r="G60" s="2" t="inlineStr"/>
      <c r="H60" s="2" t="inlineStr"/>
      <c r="I60" s="2" t="n"/>
      <c r="J60" s="2" t="n">
        <v>34.64</v>
      </c>
      <c r="K60" s="2" t="n"/>
      <c r="L60" s="2" t="inlineStr">
        <is>
          <t>Missing line – exclude from per-line award, don't treat as zero</t>
        </is>
      </c>
    </row>
    <row r="61">
      <c r="A61" s="2" t="n">
        <v>12</v>
      </c>
      <c r="B61" s="2" t="inlineStr">
        <is>
          <t>CB-502</t>
        </is>
      </c>
      <c r="C61" s="2" t="inlineStr">
        <is>
          <t>Om Sai</t>
        </is>
      </c>
      <c r="D61" s="2" t="inlineStr">
        <is>
          <t>₹42/kg</t>
        </is>
      </c>
      <c r="E61" s="2" t="inlineStr">
        <is>
          <t>per kg</t>
        </is>
      </c>
      <c r="F61" s="2" t="inlineStr">
        <is>
          <t>INR</t>
        </is>
      </c>
      <c r="G61" s="2" t="inlineStr">
        <is>
          <t>assumed excl</t>
        </is>
      </c>
      <c r="H61" s="2" t="inlineStr">
        <is>
          <t>extra (est ₹2/kg)</t>
        </is>
      </c>
      <c r="I61" s="2" t="n">
        <v>38.04</v>
      </c>
      <c r="J61" s="2" t="n">
        <v>34.64</v>
      </c>
      <c r="K61" s="3">
        <f>IF(I61="","",I61/J61-1)</f>
        <v/>
      </c>
      <c r="L61" s="2" t="inlineStr">
        <is>
          <t>kg rate applied; print adder assumed same as last year; Freight extra: est. ₹2/kg; GST basis not stated – assumed exclusive</t>
        </is>
      </c>
    </row>
    <row r="62">
      <c r="A62" s="2" t="n">
        <v>13</v>
      </c>
      <c r="B62" s="2" t="inlineStr">
        <is>
          <t>CB-503</t>
        </is>
      </c>
      <c r="C62" s="2" t="inlineStr">
        <is>
          <t>Kraftline</t>
        </is>
      </c>
      <c r="D62" s="2" t="n">
        <v>21750</v>
      </c>
      <c r="E62" s="2" t="inlineStr">
        <is>
          <t>per 1000 pcs</t>
        </is>
      </c>
      <c r="F62" s="2" t="inlineStr">
        <is>
          <t>INR</t>
        </is>
      </c>
      <c r="G62" s="2" t="inlineStr">
        <is>
          <t>excl</t>
        </is>
      </c>
      <c r="H62" s="2" t="inlineStr">
        <is>
          <t>delivered</t>
        </is>
      </c>
      <c r="I62" s="2" t="n">
        <v>21.75</v>
      </c>
      <c r="J62" s="2" t="n">
        <v>22.51</v>
      </c>
      <c r="K62" s="3">
        <f>IF(I62="","",I62/J62-1)</f>
        <v/>
      </c>
      <c r="L62" s="2" t="inlineStr"/>
    </row>
    <row r="63">
      <c r="A63" s="2" t="n">
        <v>13</v>
      </c>
      <c r="B63" s="2" t="inlineStr">
        <is>
          <t>CB-503</t>
        </is>
      </c>
      <c r="C63" s="2" t="inlineStr">
        <is>
          <t>Shree Balaji</t>
        </is>
      </c>
      <c r="D63" s="2" t="n">
        <v>50.63</v>
      </c>
      <c r="E63" s="2" t="inlineStr">
        <is>
          <t>per kg</t>
        </is>
      </c>
      <c r="F63" s="2" t="inlineStr">
        <is>
          <t>INR</t>
        </is>
      </c>
      <c r="G63" s="2" t="inlineStr">
        <is>
          <t>incl 18%</t>
        </is>
      </c>
      <c r="H63" s="2" t="inlineStr">
        <is>
          <t>delivered</t>
        </is>
      </c>
      <c r="I63" s="2" t="n">
        <v>22.27</v>
      </c>
      <c r="J63" s="2" t="n">
        <v>22.51</v>
      </c>
      <c r="K63" s="3">
        <f>IF(I63="","",I63/J63-1)</f>
        <v/>
      </c>
      <c r="L63" s="2" t="inlineStr">
        <is>
          <t>GST-inclusive, stripped 18%; 3% discount applied – conditional on PO &gt; ₹10L; Per-kg rate × buyer's computed box weight; vendor weight unconfirmed</t>
        </is>
      </c>
    </row>
    <row r="64">
      <c r="A64" s="2" t="n">
        <v>13</v>
      </c>
      <c r="B64" s="2" t="inlineStr">
        <is>
          <t>CB-503</t>
        </is>
      </c>
      <c r="C64" s="2" t="inlineStr">
        <is>
          <t>Pacific</t>
        </is>
      </c>
      <c r="D64" s="2" t="n">
        <v>0.271</v>
      </c>
      <c r="E64" s="2" t="inlineStr">
        <is>
          <t>per pc</t>
        </is>
      </c>
      <c r="F64" s="2" t="inlineStr">
        <is>
          <t>USD</t>
        </is>
      </c>
      <c r="G64" s="2" t="inlineStr">
        <is>
          <t>excl</t>
        </is>
      </c>
      <c r="H64" s="2" t="inlineStr">
        <is>
          <t>delivered</t>
        </is>
      </c>
      <c r="I64" s="2" t="n">
        <v>23.85</v>
      </c>
      <c r="J64" s="2" t="n">
        <v>22.51</v>
      </c>
      <c r="K64" s="3">
        <f>IF(I64="","",I64/J64-1)</f>
        <v/>
      </c>
      <c r="L64" s="2" t="inlineStr">
        <is>
          <t>USD @ 88.00 assumed; invoiced at RBI rate on invoice date (FX risk); Validity only 15 days</t>
        </is>
      </c>
    </row>
    <row r="65">
      <c r="A65" s="2" t="n">
        <v>13</v>
      </c>
      <c r="B65" s="2" t="inlineStr">
        <is>
          <t>CB-503</t>
        </is>
      </c>
      <c r="C65" s="2" t="inlineStr">
        <is>
          <t>Gupta</t>
        </is>
      </c>
      <c r="D65" s="2" t="inlineStr">
        <is>
          <t>NOT QUOTED</t>
        </is>
      </c>
      <c r="E65" s="2" t="inlineStr"/>
      <c r="F65" s="2" t="inlineStr"/>
      <c r="G65" s="2" t="inlineStr"/>
      <c r="H65" s="2" t="inlineStr"/>
      <c r="I65" s="2" t="n"/>
      <c r="J65" s="2" t="n">
        <v>22.51</v>
      </c>
      <c r="K65" s="2" t="n"/>
      <c r="L65" s="2" t="inlineStr">
        <is>
          <t>Missing line – exclude from per-line award, don't treat as zero</t>
        </is>
      </c>
    </row>
    <row r="66">
      <c r="A66" s="2" t="n">
        <v>13</v>
      </c>
      <c r="B66" s="2" t="inlineStr">
        <is>
          <t>CB-503</t>
        </is>
      </c>
      <c r="C66" s="2" t="inlineStr">
        <is>
          <t>Om Sai</t>
        </is>
      </c>
      <c r="D66" s="2" t="inlineStr">
        <is>
          <t>₹42/kg</t>
        </is>
      </c>
      <c r="E66" s="2" t="inlineStr">
        <is>
          <t>per kg</t>
        </is>
      </c>
      <c r="F66" s="2" t="inlineStr">
        <is>
          <t>INR</t>
        </is>
      </c>
      <c r="G66" s="2" t="inlineStr">
        <is>
          <t>assumed excl</t>
        </is>
      </c>
      <c r="H66" s="2" t="inlineStr">
        <is>
          <t>extra (est ₹2/kg)</t>
        </is>
      </c>
      <c r="I66" s="2" t="n">
        <v>24.64</v>
      </c>
      <c r="J66" s="2" t="n">
        <v>22.51</v>
      </c>
      <c r="K66" s="3">
        <f>IF(I66="","",I66/J66-1)</f>
        <v/>
      </c>
      <c r="L66" s="2" t="inlineStr">
        <is>
          <t>kg rate applied; print adder assumed same as last year; Freight extra: est. ₹2/kg; GST basis not stated – assumed exclusive</t>
        </is>
      </c>
    </row>
    <row r="67">
      <c r="A67" s="2" t="n">
        <v>14</v>
      </c>
      <c r="B67" s="2" t="inlineStr">
        <is>
          <t>CB-504</t>
        </is>
      </c>
      <c r="C67" s="2" t="inlineStr">
        <is>
          <t>Kraftline</t>
        </is>
      </c>
      <c r="D67" s="2" t="n">
        <v>24470</v>
      </c>
      <c r="E67" s="2" t="inlineStr">
        <is>
          <t>per 1000 pcs</t>
        </is>
      </c>
      <c r="F67" s="2" t="inlineStr">
        <is>
          <t>INR</t>
        </is>
      </c>
      <c r="G67" s="2" t="inlineStr">
        <is>
          <t>excl</t>
        </is>
      </c>
      <c r="H67" s="2" t="inlineStr">
        <is>
          <t>delivered</t>
        </is>
      </c>
      <c r="I67" s="2" t="n">
        <v>24.47</v>
      </c>
      <c r="J67" s="2" t="n">
        <v>24.82</v>
      </c>
      <c r="K67" s="3">
        <f>IF(I67="","",I67/J67-1)</f>
        <v/>
      </c>
      <c r="L67" s="2" t="inlineStr"/>
    </row>
    <row r="68">
      <c r="A68" s="2" t="n">
        <v>14</v>
      </c>
      <c r="B68" s="2" t="inlineStr">
        <is>
          <t>CB-504-ALT</t>
        </is>
      </c>
      <c r="C68" s="2" t="inlineStr">
        <is>
          <t>Kraftline</t>
        </is>
      </c>
      <c r="D68" s="2" t="n">
        <v>21345</v>
      </c>
      <c r="E68" s="2" t="inlineStr">
        <is>
          <t>per 1000 pcs</t>
        </is>
      </c>
      <c r="F68" s="2" t="inlineStr">
        <is>
          <t>INR</t>
        </is>
      </c>
      <c r="G68" s="2" t="inlineStr">
        <is>
          <t>excl</t>
        </is>
      </c>
      <c r="H68" s="2" t="inlineStr">
        <is>
          <t>delivered</t>
        </is>
      </c>
      <c r="I68" s="2" t="n">
        <v>21.34</v>
      </c>
      <c r="J68" s="2" t="n">
        <v>24.82</v>
      </c>
      <c r="K68" s="3">
        <f>IF(I68="","",I68/J68-1)</f>
        <v/>
      </c>
      <c r="L68" s="2" t="inlineStr">
        <is>
          <t>Alternate spec offered (18 BF, lower GSM) – not like-for-like</t>
        </is>
      </c>
    </row>
    <row r="69">
      <c r="A69" s="2" t="n">
        <v>14</v>
      </c>
      <c r="B69" s="2" t="inlineStr">
        <is>
          <t>CB-504</t>
        </is>
      </c>
      <c r="C69" s="2" t="inlineStr">
        <is>
          <t>Shree Balaji</t>
        </is>
      </c>
      <c r="D69" s="2" t="n">
        <v>49.04</v>
      </c>
      <c r="E69" s="2" t="inlineStr">
        <is>
          <t>per kg</t>
        </is>
      </c>
      <c r="F69" s="2" t="inlineStr">
        <is>
          <t>INR</t>
        </is>
      </c>
      <c r="G69" s="2" t="inlineStr">
        <is>
          <t>incl 18%</t>
        </is>
      </c>
      <c r="H69" s="2" t="inlineStr">
        <is>
          <t>delivered</t>
        </is>
      </c>
      <c r="I69" s="2" t="n">
        <v>24.39</v>
      </c>
      <c r="J69" s="2" t="n">
        <v>24.82</v>
      </c>
      <c r="K69" s="3">
        <f>IF(I69="","",I69/J69-1)</f>
        <v/>
      </c>
      <c r="L69" s="2" t="inlineStr">
        <is>
          <t>GST-inclusive, stripped 18%; 3% discount applied – conditional on PO &gt; ₹10L; Per-kg rate × buyer's computed box weight; vendor weight unconfirmed</t>
        </is>
      </c>
    </row>
    <row r="70">
      <c r="A70" s="2" t="n">
        <v>14</v>
      </c>
      <c r="B70" s="2" t="inlineStr">
        <is>
          <t>CB-504</t>
        </is>
      </c>
      <c r="C70" s="2" t="inlineStr">
        <is>
          <t>Pacific</t>
        </is>
      </c>
      <c r="D70" s="2" t="n">
        <v>0.29</v>
      </c>
      <c r="E70" s="2" t="inlineStr">
        <is>
          <t>per pc</t>
        </is>
      </c>
      <c r="F70" s="2" t="inlineStr">
        <is>
          <t>USD</t>
        </is>
      </c>
      <c r="G70" s="2" t="inlineStr">
        <is>
          <t>excl</t>
        </is>
      </c>
      <c r="H70" s="2" t="inlineStr">
        <is>
          <t>delivered</t>
        </is>
      </c>
      <c r="I70" s="2" t="n">
        <v>25.52</v>
      </c>
      <c r="J70" s="2" t="n">
        <v>24.82</v>
      </c>
      <c r="K70" s="3">
        <f>IF(I70="","",I70/J70-1)</f>
        <v/>
      </c>
      <c r="L70" s="2" t="inlineStr">
        <is>
          <t>USD @ 88.00 assumed; invoiced at RBI rate on invoice date (FX risk); Validity only 15 days</t>
        </is>
      </c>
    </row>
    <row r="71">
      <c r="A71" s="2" t="n">
        <v>14</v>
      </c>
      <c r="B71" s="2" t="inlineStr">
        <is>
          <t>CB-504</t>
        </is>
      </c>
      <c r="C71" s="2" t="inlineStr">
        <is>
          <t>Gupta</t>
        </is>
      </c>
      <c r="D71" s="2" t="inlineStr">
        <is>
          <t>NOT QUOTED</t>
        </is>
      </c>
      <c r="E71" s="2" t="inlineStr"/>
      <c r="F71" s="2" t="inlineStr"/>
      <c r="G71" s="2" t="inlineStr"/>
      <c r="H71" s="2" t="inlineStr"/>
      <c r="I71" s="2" t="n"/>
      <c r="J71" s="2" t="n">
        <v>24.82</v>
      </c>
      <c r="K71" s="2" t="n"/>
      <c r="L71" s="2" t="inlineStr">
        <is>
          <t>Missing line – exclude from per-line award, don't treat as zero</t>
        </is>
      </c>
    </row>
    <row r="72">
      <c r="A72" s="2" t="n">
        <v>14</v>
      </c>
      <c r="B72" s="2" t="inlineStr">
        <is>
          <t>CB-504</t>
        </is>
      </c>
      <c r="C72" s="2" t="inlineStr">
        <is>
          <t>Om Sai</t>
        </is>
      </c>
      <c r="D72" s="2" t="inlineStr">
        <is>
          <t>₹42/kg</t>
        </is>
      </c>
      <c r="E72" s="2" t="inlineStr">
        <is>
          <t>per kg</t>
        </is>
      </c>
      <c r="F72" s="2" t="inlineStr">
        <is>
          <t>INR</t>
        </is>
      </c>
      <c r="G72" s="2" t="inlineStr">
        <is>
          <t>assumed excl</t>
        </is>
      </c>
      <c r="H72" s="2" t="inlineStr">
        <is>
          <t>extra (est ₹2/kg)</t>
        </is>
      </c>
      <c r="I72" s="2" t="n">
        <v>27.22</v>
      </c>
      <c r="J72" s="2" t="n">
        <v>24.82</v>
      </c>
      <c r="K72" s="3">
        <f>IF(I72="","",I72/J72-1)</f>
        <v/>
      </c>
      <c r="L72" s="2" t="inlineStr">
        <is>
          <t>kg rate applied; print adder assumed same as last year; Freight extra: est. ₹2/kg; GST basis not stated – assumed exclusive</t>
        </is>
      </c>
    </row>
    <row r="73">
      <c r="A73" s="2" t="n">
        <v>15</v>
      </c>
      <c r="B73" s="2" t="inlineStr">
        <is>
          <t>CB-505</t>
        </is>
      </c>
      <c r="C73" s="2" t="inlineStr">
        <is>
          <t>Kraftline</t>
        </is>
      </c>
      <c r="D73" s="2" t="n">
        <v>25030</v>
      </c>
      <c r="E73" s="2" t="inlineStr">
        <is>
          <t>per 1000 pcs</t>
        </is>
      </c>
      <c r="F73" s="2" t="inlineStr">
        <is>
          <t>INR</t>
        </is>
      </c>
      <c r="G73" s="2" t="inlineStr">
        <is>
          <t>excl</t>
        </is>
      </c>
      <c r="H73" s="2" t="inlineStr">
        <is>
          <t>delivered</t>
        </is>
      </c>
      <c r="I73" s="2" t="n">
        <v>25.03</v>
      </c>
      <c r="J73" s="2" t="n">
        <v>26.3</v>
      </c>
      <c r="K73" s="3">
        <f>IF(I73="","",I73/J73-1)</f>
        <v/>
      </c>
      <c r="L73" s="2" t="inlineStr"/>
    </row>
    <row r="74">
      <c r="A74" s="2" t="n">
        <v>15</v>
      </c>
      <c r="B74" s="2" t="inlineStr">
        <is>
          <t>CB-505</t>
        </is>
      </c>
      <c r="C74" s="2" t="inlineStr">
        <is>
          <t>Shree Balaji</t>
        </is>
      </c>
      <c r="D74" s="2" t="n">
        <v>48.52</v>
      </c>
      <c r="E74" s="2" t="inlineStr">
        <is>
          <t>per kg</t>
        </is>
      </c>
      <c r="F74" s="2" t="inlineStr">
        <is>
          <t>INR</t>
        </is>
      </c>
      <c r="G74" s="2" t="inlineStr">
        <is>
          <t>incl 18%</t>
        </is>
      </c>
      <c r="H74" s="2" t="inlineStr">
        <is>
          <t>delivered</t>
        </is>
      </c>
      <c r="I74" s="2" t="n">
        <v>25.65</v>
      </c>
      <c r="J74" s="2" t="n">
        <v>26.3</v>
      </c>
      <c r="K74" s="3">
        <f>IF(I74="","",I74/J74-1)</f>
        <v/>
      </c>
      <c r="L74" s="2" t="inlineStr">
        <is>
          <t>GST-inclusive, stripped 18%; 3% discount applied – conditional on PO &gt; ₹10L; Per-kg rate × buyer's computed box weight; vendor weight unconfirmed</t>
        </is>
      </c>
    </row>
    <row r="75">
      <c r="A75" s="2" t="n">
        <v>15</v>
      </c>
      <c r="B75" s="2" t="inlineStr">
        <is>
          <t>CB-505</t>
        </is>
      </c>
      <c r="C75" s="2" t="inlineStr">
        <is>
          <t>Pacific</t>
        </is>
      </c>
      <c r="D75" s="2" t="n">
        <v>0.317</v>
      </c>
      <c r="E75" s="2" t="inlineStr">
        <is>
          <t>per pc</t>
        </is>
      </c>
      <c r="F75" s="2" t="inlineStr">
        <is>
          <t>USD</t>
        </is>
      </c>
      <c r="G75" s="2" t="inlineStr">
        <is>
          <t>excl</t>
        </is>
      </c>
      <c r="H75" s="2" t="inlineStr">
        <is>
          <t>delivered</t>
        </is>
      </c>
      <c r="I75" s="2" t="n">
        <v>27.9</v>
      </c>
      <c r="J75" s="2" t="n">
        <v>26.3</v>
      </c>
      <c r="K75" s="3">
        <f>IF(I75="","",I75/J75-1)</f>
        <v/>
      </c>
      <c r="L75" s="2" t="inlineStr">
        <is>
          <t>USD @ 88.00 assumed; invoiced at RBI rate on invoice date (FX risk); Validity only 15 days</t>
        </is>
      </c>
    </row>
    <row r="76">
      <c r="A76" s="2" t="n">
        <v>15</v>
      </c>
      <c r="B76" s="2" t="inlineStr">
        <is>
          <t>CB-505</t>
        </is>
      </c>
      <c r="C76" s="2" t="inlineStr">
        <is>
          <t>Gupta</t>
        </is>
      </c>
      <c r="D76" s="2" t="inlineStr">
        <is>
          <t>NOT QUOTED</t>
        </is>
      </c>
      <c r="E76" s="2" t="inlineStr"/>
      <c r="F76" s="2" t="inlineStr"/>
      <c r="G76" s="2" t="inlineStr"/>
      <c r="H76" s="2" t="inlineStr"/>
      <c r="I76" s="2" t="n"/>
      <c r="J76" s="2" t="n">
        <v>26.3</v>
      </c>
      <c r="K76" s="2" t="n"/>
      <c r="L76" s="2" t="inlineStr">
        <is>
          <t>Missing line – exclude from per-line award, don't treat as zero</t>
        </is>
      </c>
    </row>
    <row r="77">
      <c r="A77" s="2" t="n">
        <v>15</v>
      </c>
      <c r="B77" s="2" t="inlineStr">
        <is>
          <t>CB-505</t>
        </is>
      </c>
      <c r="C77" s="2" t="inlineStr">
        <is>
          <t>Om Sai</t>
        </is>
      </c>
      <c r="D77" s="2" t="inlineStr">
        <is>
          <t>₹42/kg</t>
        </is>
      </c>
      <c r="E77" s="2" t="inlineStr">
        <is>
          <t>per kg</t>
        </is>
      </c>
      <c r="F77" s="2" t="inlineStr">
        <is>
          <t>INR</t>
        </is>
      </c>
      <c r="G77" s="2" t="inlineStr">
        <is>
          <t>assumed excl</t>
        </is>
      </c>
      <c r="H77" s="2" t="inlineStr">
        <is>
          <t>extra (est ₹2/kg)</t>
        </is>
      </c>
      <c r="I77" s="2" t="n">
        <v>28.89</v>
      </c>
      <c r="J77" s="2" t="n">
        <v>26.3</v>
      </c>
      <c r="K77" s="3">
        <f>IF(I77="","",I77/J77-1)</f>
        <v/>
      </c>
      <c r="L77" s="2" t="inlineStr">
        <is>
          <t>kg rate applied; print adder assumed same as last year; Freight extra: est. ₹2/kg; GST basis not stated – assumed exclusive</t>
        </is>
      </c>
    </row>
    <row r="78">
      <c r="A78" s="2" t="n">
        <v>16</v>
      </c>
      <c r="B78" s="2" t="inlineStr">
        <is>
          <t>CB-506</t>
        </is>
      </c>
      <c r="C78" s="2" t="inlineStr">
        <is>
          <t>Kraftline</t>
        </is>
      </c>
      <c r="D78" s="2" t="n">
        <v>22000</v>
      </c>
      <c r="E78" s="2" t="inlineStr">
        <is>
          <t>per 1000 pcs</t>
        </is>
      </c>
      <c r="F78" s="2" t="inlineStr">
        <is>
          <t>INR</t>
        </is>
      </c>
      <c r="G78" s="2" t="inlineStr">
        <is>
          <t>excl</t>
        </is>
      </c>
      <c r="H78" s="2" t="inlineStr">
        <is>
          <t>delivered</t>
        </is>
      </c>
      <c r="I78" s="2" t="n">
        <v>22</v>
      </c>
      <c r="J78" s="2" t="n">
        <v>23</v>
      </c>
      <c r="K78" s="3">
        <f>IF(I78="","",I78/J78-1)</f>
        <v/>
      </c>
      <c r="L78" s="2" t="inlineStr"/>
    </row>
    <row r="79">
      <c r="A79" s="2" t="n">
        <v>16</v>
      </c>
      <c r="B79" s="2" t="inlineStr">
        <is>
          <t>CB-506-ALT</t>
        </is>
      </c>
      <c r="C79" s="2" t="inlineStr">
        <is>
          <t>Kraftline</t>
        </is>
      </c>
      <c r="D79" s="2" t="n">
        <v>19780</v>
      </c>
      <c r="E79" s="2" t="inlineStr">
        <is>
          <t>per 1000 pcs</t>
        </is>
      </c>
      <c r="F79" s="2" t="inlineStr">
        <is>
          <t>INR</t>
        </is>
      </c>
      <c r="G79" s="2" t="inlineStr">
        <is>
          <t>excl</t>
        </is>
      </c>
      <c r="H79" s="2" t="inlineStr">
        <is>
          <t>delivered</t>
        </is>
      </c>
      <c r="I79" s="2" t="n">
        <v>19.78</v>
      </c>
      <c r="J79" s="2" t="n">
        <v>23</v>
      </c>
      <c r="K79" s="3">
        <f>IF(I79="","",I79/J79-1)</f>
        <v/>
      </c>
      <c r="L79" s="2" t="inlineStr">
        <is>
          <t>Alternate spec offered (18 BF, lower GSM) – not like-for-like</t>
        </is>
      </c>
    </row>
    <row r="80">
      <c r="A80" s="2" t="n">
        <v>16</v>
      </c>
      <c r="B80" s="2" t="inlineStr">
        <is>
          <t>CB-506</t>
        </is>
      </c>
      <c r="C80" s="2" t="inlineStr">
        <is>
          <t>Shree Balaji</t>
        </is>
      </c>
      <c r="D80" s="2" t="n">
        <v>49.94</v>
      </c>
      <c r="E80" s="2" t="inlineStr">
        <is>
          <t>per kg</t>
        </is>
      </c>
      <c r="F80" s="2" t="inlineStr">
        <is>
          <t>INR</t>
        </is>
      </c>
      <c r="G80" s="2" t="inlineStr">
        <is>
          <t>incl 18%</t>
        </is>
      </c>
      <c r="H80" s="2" t="inlineStr">
        <is>
          <t>delivered</t>
        </is>
      </c>
      <c r="I80" s="2" t="n">
        <v>22.99</v>
      </c>
      <c r="J80" s="2" t="n">
        <v>23</v>
      </c>
      <c r="K80" s="3">
        <f>IF(I80="","",I80/J80-1)</f>
        <v/>
      </c>
      <c r="L80" s="2" t="inlineStr">
        <is>
          <t>GST-inclusive, stripped 18%; 3% discount applied – conditional on PO &gt; ₹10L; Per-kg rate × buyer's computed box weight; vendor weight unconfirmed</t>
        </is>
      </c>
    </row>
    <row r="81">
      <c r="A81" s="2" t="n">
        <v>16</v>
      </c>
      <c r="B81" s="2" t="inlineStr">
        <is>
          <t>CB-506</t>
        </is>
      </c>
      <c r="C81" s="2" t="inlineStr">
        <is>
          <t>Pacific</t>
        </is>
      </c>
      <c r="D81" s="2" t="n">
        <v>0.276</v>
      </c>
      <c r="E81" s="2" t="inlineStr">
        <is>
          <t>per pc</t>
        </is>
      </c>
      <c r="F81" s="2" t="inlineStr">
        <is>
          <t>USD</t>
        </is>
      </c>
      <c r="G81" s="2" t="inlineStr">
        <is>
          <t>excl</t>
        </is>
      </c>
      <c r="H81" s="2" t="inlineStr">
        <is>
          <t>delivered</t>
        </is>
      </c>
      <c r="I81" s="2" t="n">
        <v>24.29</v>
      </c>
      <c r="J81" s="2" t="n">
        <v>23</v>
      </c>
      <c r="K81" s="3">
        <f>IF(I81="","",I81/J81-1)</f>
        <v/>
      </c>
      <c r="L81" s="2" t="inlineStr">
        <is>
          <t>USD @ 88.00 assumed; invoiced at RBI rate on invoice date (FX risk); Validity only 15 days</t>
        </is>
      </c>
    </row>
    <row r="82">
      <c r="A82" s="2" t="n">
        <v>16</v>
      </c>
      <c r="B82" s="2" t="inlineStr">
        <is>
          <t>CB-506</t>
        </is>
      </c>
      <c r="C82" s="2" t="inlineStr">
        <is>
          <t>Gupta</t>
        </is>
      </c>
      <c r="D82" s="2" t="inlineStr">
        <is>
          <t>NOT QUOTED</t>
        </is>
      </c>
      <c r="E82" s="2" t="inlineStr"/>
      <c r="F82" s="2" t="inlineStr"/>
      <c r="G82" s="2" t="inlineStr"/>
      <c r="H82" s="2" t="inlineStr"/>
      <c r="I82" s="2" t="n"/>
      <c r="J82" s="2" t="n">
        <v>23</v>
      </c>
      <c r="K82" s="2" t="n"/>
      <c r="L82" s="2" t="inlineStr">
        <is>
          <t>Missing line – exclude from per-line award, don't treat as zero</t>
        </is>
      </c>
    </row>
    <row r="83">
      <c r="A83" s="2" t="n">
        <v>16</v>
      </c>
      <c r="B83" s="2" t="inlineStr">
        <is>
          <t>CB-506</t>
        </is>
      </c>
      <c r="C83" s="2" t="inlineStr">
        <is>
          <t>Om Sai</t>
        </is>
      </c>
      <c r="D83" s="2" t="inlineStr">
        <is>
          <t>₹42/kg</t>
        </is>
      </c>
      <c r="E83" s="2" t="inlineStr">
        <is>
          <t>per kg</t>
        </is>
      </c>
      <c r="F83" s="2" t="inlineStr">
        <is>
          <t>INR</t>
        </is>
      </c>
      <c r="G83" s="2" t="inlineStr">
        <is>
          <t>assumed excl</t>
        </is>
      </c>
      <c r="H83" s="2" t="inlineStr">
        <is>
          <t>extra (est ₹2/kg)</t>
        </is>
      </c>
      <c r="I83" s="2" t="n">
        <v>25.24</v>
      </c>
      <c r="J83" s="2" t="n">
        <v>23</v>
      </c>
      <c r="K83" s="3">
        <f>IF(I83="","",I83/J83-1)</f>
        <v/>
      </c>
      <c r="L83" s="2" t="inlineStr">
        <is>
          <t>kg rate applied; print adder assumed same as last year; Freight extra: est. ₹2/kg; GST basis not stated – assumed exclusive</t>
        </is>
      </c>
    </row>
    <row r="84">
      <c r="A84" s="2" t="n">
        <v>17</v>
      </c>
      <c r="B84" s="2" t="inlineStr">
        <is>
          <t>CB-507</t>
        </is>
      </c>
      <c r="C84" s="2" t="inlineStr">
        <is>
          <t>Kraftline</t>
        </is>
      </c>
      <c r="D84" s="2" t="n">
        <v>38325</v>
      </c>
      <c r="E84" s="2" t="inlineStr">
        <is>
          <t>per 1000 pcs</t>
        </is>
      </c>
      <c r="F84" s="2" t="inlineStr">
        <is>
          <t>INR</t>
        </is>
      </c>
      <c r="G84" s="2" t="inlineStr">
        <is>
          <t>excl</t>
        </is>
      </c>
      <c r="H84" s="2" t="inlineStr">
        <is>
          <t>delivered</t>
        </is>
      </c>
      <c r="I84" s="2" t="n">
        <v>38.33</v>
      </c>
      <c r="J84" s="2" t="n">
        <v>39.26</v>
      </c>
      <c r="K84" s="3">
        <f>IF(I84="","",I84/J84-1)</f>
        <v/>
      </c>
      <c r="L84" s="2" t="inlineStr"/>
    </row>
    <row r="85">
      <c r="A85" s="2" t="n">
        <v>17</v>
      </c>
      <c r="B85" s="2" t="inlineStr">
        <is>
          <t>CB-507</t>
        </is>
      </c>
      <c r="C85" s="2" t="inlineStr">
        <is>
          <t>Shree Balaji</t>
        </is>
      </c>
      <c r="D85" s="2" t="n">
        <v>49.18</v>
      </c>
      <c r="E85" s="2" t="inlineStr">
        <is>
          <t>per kg</t>
        </is>
      </c>
      <c r="F85" s="2" t="inlineStr">
        <is>
          <t>INR</t>
        </is>
      </c>
      <c r="G85" s="2" t="inlineStr">
        <is>
          <t>incl 18%</t>
        </is>
      </c>
      <c r="H85" s="2" t="inlineStr">
        <is>
          <t>delivered</t>
        </is>
      </c>
      <c r="I85" s="2" t="n">
        <v>39.05</v>
      </c>
      <c r="J85" s="2" t="n">
        <v>39.26</v>
      </c>
      <c r="K85" s="3">
        <f>IF(I85="","",I85/J85-1)</f>
        <v/>
      </c>
      <c r="L85" s="2" t="inlineStr">
        <is>
          <t>GST-inclusive, stripped 18%; 3% discount applied – conditional on PO &gt; ₹10L; Per-kg rate × buyer's computed box weight; vendor weight unconfirmed</t>
        </is>
      </c>
    </row>
    <row r="86">
      <c r="A86" s="2" t="n">
        <v>17</v>
      </c>
      <c r="B86" s="2" t="inlineStr">
        <is>
          <t>CB-507</t>
        </is>
      </c>
      <c r="C86" s="2" t="inlineStr">
        <is>
          <t>Pacific</t>
        </is>
      </c>
      <c r="D86" s="2" t="n">
        <v>0.48</v>
      </c>
      <c r="E86" s="2" t="inlineStr">
        <is>
          <t>per pc</t>
        </is>
      </c>
      <c r="F86" s="2" t="inlineStr">
        <is>
          <t>USD</t>
        </is>
      </c>
      <c r="G86" s="2" t="inlineStr">
        <is>
          <t>excl</t>
        </is>
      </c>
      <c r="H86" s="2" t="inlineStr">
        <is>
          <t>delivered</t>
        </is>
      </c>
      <c r="I86" s="2" t="n">
        <v>42.24</v>
      </c>
      <c r="J86" s="2" t="n">
        <v>39.26</v>
      </c>
      <c r="K86" s="3">
        <f>IF(I86="","",I86/J86-1)</f>
        <v/>
      </c>
      <c r="L86" s="2" t="inlineStr">
        <is>
          <t>USD @ 88.00 assumed; invoiced at RBI rate on invoice date (FX risk); Validity only 15 days</t>
        </is>
      </c>
    </row>
    <row r="87">
      <c r="A87" s="2" t="n">
        <v>17</v>
      </c>
      <c r="B87" s="2" t="inlineStr">
        <is>
          <t>CB-507</t>
        </is>
      </c>
      <c r="C87" s="2" t="inlineStr">
        <is>
          <t>Gupta</t>
        </is>
      </c>
      <c r="D87" s="2" t="n">
        <v>3355</v>
      </c>
      <c r="E87" s="2" t="inlineStr">
        <is>
          <t>per 100 pcs (plain)</t>
        </is>
      </c>
      <c r="F87" s="2" t="inlineStr">
        <is>
          <t>INR</t>
        </is>
      </c>
      <c r="G87" s="2" t="inlineStr">
        <is>
          <t>excl</t>
        </is>
      </c>
      <c r="H87" s="2" t="inlineStr">
        <is>
          <t>ex-works</t>
        </is>
      </c>
      <c r="I87" s="2" t="n">
        <v>35.97</v>
      </c>
      <c r="J87" s="2" t="n">
        <v>39.26</v>
      </c>
      <c r="K87" s="3">
        <f>IF(I87="","",I87/J87-1)</f>
        <v/>
      </c>
      <c r="L87" s="2" t="inlineStr">
        <is>
          <t>Matched to inch size 18 x 14 x 12 (1.6% max dimension deviation); Paper grade not stated; Ex-works: freight est. ₹2/kg; Plain-box rate + ₹0.50/colour print adder</t>
        </is>
      </c>
    </row>
    <row r="88">
      <c r="A88" s="2" t="n">
        <v>17</v>
      </c>
      <c r="B88" s="2" t="inlineStr">
        <is>
          <t>CB-507</t>
        </is>
      </c>
      <c r="C88" s="2" t="inlineStr">
        <is>
          <t>Om Sai</t>
        </is>
      </c>
      <c r="D88" s="2" t="inlineStr">
        <is>
          <t>₹42/kg</t>
        </is>
      </c>
      <c r="E88" s="2" t="inlineStr">
        <is>
          <t>per kg</t>
        </is>
      </c>
      <c r="F88" s="2" t="inlineStr">
        <is>
          <t>INR</t>
        </is>
      </c>
      <c r="G88" s="2" t="inlineStr">
        <is>
          <t>assumed excl</t>
        </is>
      </c>
      <c r="H88" s="2" t="inlineStr">
        <is>
          <t>extra (est ₹2/kg)</t>
        </is>
      </c>
      <c r="I88" s="2" t="n">
        <v>43.1</v>
      </c>
      <c r="J88" s="2" t="n">
        <v>39.26</v>
      </c>
      <c r="K88" s="3">
        <f>IF(I88="","",I88/J88-1)</f>
        <v/>
      </c>
      <c r="L88" s="2" t="inlineStr">
        <is>
          <t>kg rate applied; print adder assumed same as last year; Freight extra: est. ₹2/kg; GST basis not stated – assumed exclusive</t>
        </is>
      </c>
    </row>
    <row r="89">
      <c r="A89" s="2" t="n">
        <v>18</v>
      </c>
      <c r="B89" s="2" t="inlineStr">
        <is>
          <t>CB-508</t>
        </is>
      </c>
      <c r="C89" s="2" t="inlineStr">
        <is>
          <t>Kraftline</t>
        </is>
      </c>
      <c r="D89" s="2" t="n">
        <v>44130</v>
      </c>
      <c r="E89" s="2" t="inlineStr">
        <is>
          <t>per 1000 pcs</t>
        </is>
      </c>
      <c r="F89" s="2" t="inlineStr">
        <is>
          <t>INR</t>
        </is>
      </c>
      <c r="G89" s="2" t="inlineStr">
        <is>
          <t>excl</t>
        </is>
      </c>
      <c r="H89" s="2" t="inlineStr">
        <is>
          <t>delivered</t>
        </is>
      </c>
      <c r="I89" s="2" t="n">
        <v>44.13</v>
      </c>
      <c r="J89" s="2" t="n">
        <v>44.5</v>
      </c>
      <c r="K89" s="3">
        <f>IF(I89="","",I89/J89-1)</f>
        <v/>
      </c>
      <c r="L89" s="2" t="inlineStr"/>
    </row>
    <row r="90">
      <c r="A90" s="2" t="n">
        <v>18</v>
      </c>
      <c r="B90" s="2" t="inlineStr">
        <is>
          <t>CB-508</t>
        </is>
      </c>
      <c r="C90" s="2" t="inlineStr">
        <is>
          <t>Shree Balaji</t>
        </is>
      </c>
      <c r="D90" s="2" t="n">
        <v>47.99</v>
      </c>
      <c r="E90" s="2" t="inlineStr">
        <is>
          <t>per kg</t>
        </is>
      </c>
      <c r="F90" s="2" t="inlineStr">
        <is>
          <t>INR</t>
        </is>
      </c>
      <c r="G90" s="2" t="inlineStr">
        <is>
          <t>incl 18%</t>
        </is>
      </c>
      <c r="H90" s="2" t="inlineStr">
        <is>
          <t>delivered</t>
        </is>
      </c>
      <c r="I90" s="2" t="n">
        <v>43.28</v>
      </c>
      <c r="J90" s="2" t="n">
        <v>44.5</v>
      </c>
      <c r="K90" s="3">
        <f>IF(I90="","",I90/J90-1)</f>
        <v/>
      </c>
      <c r="L90" s="2" t="inlineStr">
        <is>
          <t>GST-inclusive, stripped 18%; 3% discount applied – conditional on PO &gt; ₹10L; Per-kg rate × buyer's computed box weight; vendor weight unconfirmed</t>
        </is>
      </c>
    </row>
    <row r="91">
      <c r="A91" s="2" t="n">
        <v>18</v>
      </c>
      <c r="B91" s="2" t="inlineStr">
        <is>
          <t>CB-508</t>
        </is>
      </c>
      <c r="C91" s="2" t="inlineStr">
        <is>
          <t>Pacific</t>
        </is>
      </c>
      <c r="D91" s="2" t="n">
        <v>0.54</v>
      </c>
      <c r="E91" s="2" t="inlineStr">
        <is>
          <t>per pc</t>
        </is>
      </c>
      <c r="F91" s="2" t="inlineStr">
        <is>
          <t>USD</t>
        </is>
      </c>
      <c r="G91" s="2" t="inlineStr">
        <is>
          <t>excl</t>
        </is>
      </c>
      <c r="H91" s="2" t="inlineStr">
        <is>
          <t>delivered</t>
        </is>
      </c>
      <c r="I91" s="2" t="n">
        <v>47.52</v>
      </c>
      <c r="J91" s="2" t="n">
        <v>44.5</v>
      </c>
      <c r="K91" s="3">
        <f>IF(I91="","",I91/J91-1)</f>
        <v/>
      </c>
      <c r="L91" s="2" t="inlineStr">
        <is>
          <t>USD @ 88.00 assumed; invoiced at RBI rate on invoice date (FX risk); Validity only 15 days</t>
        </is>
      </c>
    </row>
    <row r="92">
      <c r="A92" s="2" t="n">
        <v>18</v>
      </c>
      <c r="B92" s="2" t="inlineStr">
        <is>
          <t>CB-508</t>
        </is>
      </c>
      <c r="C92" s="2" t="inlineStr">
        <is>
          <t>Gupta</t>
        </is>
      </c>
      <c r="D92" s="2" t="n">
        <v>3695</v>
      </c>
      <c r="E92" s="2" t="inlineStr">
        <is>
          <t>per 100 pcs (plain)</t>
        </is>
      </c>
      <c r="F92" s="2" t="inlineStr">
        <is>
          <t>INR</t>
        </is>
      </c>
      <c r="G92" s="2" t="inlineStr">
        <is>
          <t>excl</t>
        </is>
      </c>
      <c r="H92" s="2" t="inlineStr">
        <is>
          <t>ex-works</t>
        </is>
      </c>
      <c r="I92" s="2" t="n">
        <v>39.56</v>
      </c>
      <c r="J92" s="2" t="n">
        <v>44.5</v>
      </c>
      <c r="K92" s="3">
        <f>IF(I92="","",I92/J92-1)</f>
        <v/>
      </c>
      <c r="L92" s="2" t="inlineStr">
        <is>
          <t>Matched to inch size 20 x 14 x 13 (6.4% max dimension deviation); Paper grade not stated; Ex-works: freight est. ₹2/kg; LOW CONFIDENCE match – size deviation &gt;5%; Plain-box rate + ₹0.50/colour print adder</t>
        </is>
      </c>
    </row>
    <row r="93">
      <c r="A93" s="2" t="n">
        <v>18</v>
      </c>
      <c r="B93" s="2" t="inlineStr">
        <is>
          <t>CB-508</t>
        </is>
      </c>
      <c r="C93" s="2" t="inlineStr">
        <is>
          <t>Om Sai</t>
        </is>
      </c>
      <c r="D93" s="2" t="inlineStr">
        <is>
          <t>₹42/kg</t>
        </is>
      </c>
      <c r="E93" s="2" t="inlineStr">
        <is>
          <t>per kg</t>
        </is>
      </c>
      <c r="F93" s="2" t="inlineStr">
        <is>
          <t>INR</t>
        </is>
      </c>
      <c r="G93" s="2" t="inlineStr">
        <is>
          <t>assumed excl</t>
        </is>
      </c>
      <c r="H93" s="2" t="inlineStr">
        <is>
          <t>extra (est ₹2/kg)</t>
        </is>
      </c>
      <c r="I93" s="2" t="n">
        <v>48.87</v>
      </c>
      <c r="J93" s="2" t="n">
        <v>44.5</v>
      </c>
      <c r="K93" s="3">
        <f>IF(I93="","",I93/J93-1)</f>
        <v/>
      </c>
      <c r="L93" s="2" t="inlineStr">
        <is>
          <t>kg rate applied; print adder assumed same as last year; Freight extra: est. ₹2/kg; GST basis not stated – assumed exclusive</t>
        </is>
      </c>
    </row>
    <row r="94">
      <c r="A94" s="2" t="n">
        <v>19</v>
      </c>
      <c r="B94" s="2" t="inlineStr">
        <is>
          <t>CB-509</t>
        </is>
      </c>
      <c r="C94" s="2" t="inlineStr">
        <is>
          <t>Kraftline</t>
        </is>
      </c>
      <c r="D94" s="2" t="n">
        <v>52455</v>
      </c>
      <c r="E94" s="2" t="inlineStr">
        <is>
          <t>per 1000 pcs</t>
        </is>
      </c>
      <c r="F94" s="2" t="inlineStr">
        <is>
          <t>INR</t>
        </is>
      </c>
      <c r="G94" s="2" t="inlineStr">
        <is>
          <t>excl</t>
        </is>
      </c>
      <c r="H94" s="2" t="inlineStr">
        <is>
          <t>delivered</t>
        </is>
      </c>
      <c r="I94" s="2" t="n">
        <v>52.45</v>
      </c>
      <c r="J94" s="2" t="n">
        <v>53.87</v>
      </c>
      <c r="K94" s="3">
        <f>IF(I94="","",I94/J94-1)</f>
        <v/>
      </c>
      <c r="L94" s="2" t="inlineStr"/>
    </row>
    <row r="95">
      <c r="A95" s="2" t="n">
        <v>19</v>
      </c>
      <c r="B95" s="2" t="inlineStr">
        <is>
          <t>CB-509</t>
        </is>
      </c>
      <c r="C95" s="2" t="inlineStr">
        <is>
          <t>Shree Balaji</t>
        </is>
      </c>
      <c r="D95" s="2" t="n">
        <v>48.64</v>
      </c>
      <c r="E95" s="2" t="inlineStr">
        <is>
          <t>per kg</t>
        </is>
      </c>
      <c r="F95" s="2" t="inlineStr">
        <is>
          <t>INR</t>
        </is>
      </c>
      <c r="G95" s="2" t="inlineStr">
        <is>
          <t>incl 18%</t>
        </is>
      </c>
      <c r="H95" s="2" t="inlineStr">
        <is>
          <t>delivered</t>
        </is>
      </c>
      <c r="I95" s="2" t="n">
        <v>53.26</v>
      </c>
      <c r="J95" s="2" t="n">
        <v>53.87</v>
      </c>
      <c r="K95" s="3">
        <f>IF(I95="","",I95/J95-1)</f>
        <v/>
      </c>
      <c r="L95" s="2" t="inlineStr">
        <is>
          <t>GST-inclusive, stripped 18%; 3% discount applied – conditional on PO &gt; ₹10L; Per-kg rate × buyer's computed box weight; vendor weight unconfirmed</t>
        </is>
      </c>
    </row>
    <row r="96">
      <c r="A96" s="2" t="n">
        <v>19</v>
      </c>
      <c r="B96" s="2" t="inlineStr">
        <is>
          <t>CB-509</t>
        </is>
      </c>
      <c r="C96" s="2" t="inlineStr">
        <is>
          <t>Pacific</t>
        </is>
      </c>
      <c r="D96" s="2" t="n">
        <v>0.636</v>
      </c>
      <c r="E96" s="2" t="inlineStr">
        <is>
          <t>per pc</t>
        </is>
      </c>
      <c r="F96" s="2" t="inlineStr">
        <is>
          <t>USD</t>
        </is>
      </c>
      <c r="G96" s="2" t="inlineStr">
        <is>
          <t>excl</t>
        </is>
      </c>
      <c r="H96" s="2" t="inlineStr">
        <is>
          <t>delivered</t>
        </is>
      </c>
      <c r="I96" s="2" t="n">
        <v>55.97</v>
      </c>
      <c r="J96" s="2" t="n">
        <v>53.87</v>
      </c>
      <c r="K96" s="3">
        <f>IF(I96="","",I96/J96-1)</f>
        <v/>
      </c>
      <c r="L96" s="2" t="inlineStr">
        <is>
          <t>USD @ 88.00 assumed; invoiced at RBI rate on invoice date (FX risk); Validity only 15 days</t>
        </is>
      </c>
    </row>
    <row r="97">
      <c r="A97" s="2" t="n">
        <v>19</v>
      </c>
      <c r="B97" s="2" t="inlineStr">
        <is>
          <t>CB-509</t>
        </is>
      </c>
      <c r="C97" s="2" t="inlineStr">
        <is>
          <t>Gupta</t>
        </is>
      </c>
      <c r="D97" s="2" t="n">
        <v>4810</v>
      </c>
      <c r="E97" s="2" t="inlineStr">
        <is>
          <t>per 100 pcs (plain)</t>
        </is>
      </c>
      <c r="F97" s="2" t="inlineStr">
        <is>
          <t>INR</t>
        </is>
      </c>
      <c r="G97" s="2" t="inlineStr">
        <is>
          <t>excl</t>
        </is>
      </c>
      <c r="H97" s="2" t="inlineStr">
        <is>
          <t>ex-works</t>
        </is>
      </c>
      <c r="I97" s="2" t="n">
        <v>51.35</v>
      </c>
      <c r="J97" s="2" t="n">
        <v>53.87</v>
      </c>
      <c r="K97" s="3">
        <f>IF(I97="","",I97/J97-1)</f>
        <v/>
      </c>
      <c r="L97" s="2" t="inlineStr">
        <is>
          <t>Matched to inch size 24 x 16 x 14 (1.6% max dimension deviation); Paper grade not stated; Ex-works: freight est. ₹2/kg; Plain-box rate + ₹0.50/colour print adder</t>
        </is>
      </c>
    </row>
    <row r="98">
      <c r="A98" s="2" t="n">
        <v>19</v>
      </c>
      <c r="B98" s="2" t="inlineStr">
        <is>
          <t>CB-509</t>
        </is>
      </c>
      <c r="C98" s="2" t="inlineStr">
        <is>
          <t>Om Sai</t>
        </is>
      </c>
      <c r="D98" s="2" t="inlineStr">
        <is>
          <t>₹42/kg</t>
        </is>
      </c>
      <c r="E98" s="2" t="inlineStr">
        <is>
          <t>per kg</t>
        </is>
      </c>
      <c r="F98" s="2" t="inlineStr">
        <is>
          <t>INR</t>
        </is>
      </c>
      <c r="G98" s="2" t="inlineStr">
        <is>
          <t>assumed excl</t>
        </is>
      </c>
      <c r="H98" s="2" t="inlineStr">
        <is>
          <t>extra (est ₹2/kg)</t>
        </is>
      </c>
      <c r="I98" s="2" t="n">
        <v>59.21</v>
      </c>
      <c r="J98" s="2" t="n">
        <v>53.87</v>
      </c>
      <c r="K98" s="3">
        <f>IF(I98="","",I98/J98-1)</f>
        <v/>
      </c>
      <c r="L98" s="2" t="inlineStr">
        <is>
          <t>kg rate applied; print adder assumed same as last year; Freight extra: est. ₹2/kg; GST basis not stated – assumed exclusive</t>
        </is>
      </c>
    </row>
    <row r="99">
      <c r="A99" s="2" t="n">
        <v>20</v>
      </c>
      <c r="B99" s="2" t="inlineStr">
        <is>
          <t>CB-510</t>
        </is>
      </c>
      <c r="C99" s="2" t="inlineStr">
        <is>
          <t>Kraftline</t>
        </is>
      </c>
      <c r="D99" s="2" t="n">
        <v>55855</v>
      </c>
      <c r="E99" s="2" t="inlineStr">
        <is>
          <t>per 1000 pcs</t>
        </is>
      </c>
      <c r="F99" s="2" t="inlineStr">
        <is>
          <t>INR</t>
        </is>
      </c>
      <c r="G99" s="2" t="inlineStr">
        <is>
          <t>excl</t>
        </is>
      </c>
      <c r="H99" s="2" t="inlineStr">
        <is>
          <t>delivered</t>
        </is>
      </c>
      <c r="I99" s="2" t="n">
        <v>55.85</v>
      </c>
      <c r="J99" s="2" t="n">
        <v>57.88</v>
      </c>
      <c r="K99" s="3">
        <f>IF(I99="","",I99/J99-1)</f>
        <v/>
      </c>
      <c r="L99" s="2" t="inlineStr"/>
    </row>
    <row r="100">
      <c r="A100" s="2" t="n">
        <v>20</v>
      </c>
      <c r="B100" s="2" t="inlineStr">
        <is>
          <t>CB-510</t>
        </is>
      </c>
      <c r="C100" s="2" t="inlineStr">
        <is>
          <t>Shree Balaji</t>
        </is>
      </c>
      <c r="D100" s="2" t="n">
        <v>48.94</v>
      </c>
      <c r="E100" s="2" t="inlineStr">
        <is>
          <t>per kg</t>
        </is>
      </c>
      <c r="F100" s="2" t="inlineStr">
        <is>
          <t>INR</t>
        </is>
      </c>
      <c r="G100" s="2" t="inlineStr">
        <is>
          <t>incl 18%</t>
        </is>
      </c>
      <c r="H100" s="2" t="inlineStr">
        <is>
          <t>delivered</t>
        </is>
      </c>
      <c r="I100" s="2" t="n">
        <v>57.09</v>
      </c>
      <c r="J100" s="2" t="n">
        <v>57.88</v>
      </c>
      <c r="K100" s="3">
        <f>IF(I100="","",I100/J100-1)</f>
        <v/>
      </c>
      <c r="L100" s="2" t="inlineStr">
        <is>
          <t>GST-inclusive, stripped 18%; 3% discount applied – conditional on PO &gt; ₹10L; Per-kg rate × buyer's computed box weight; vendor weight unconfirmed</t>
        </is>
      </c>
    </row>
    <row r="101">
      <c r="A101" s="2" t="n">
        <v>20</v>
      </c>
      <c r="B101" s="2" t="inlineStr">
        <is>
          <t>CB-510</t>
        </is>
      </c>
      <c r="C101" s="2" t="inlineStr">
        <is>
          <t>Pacific</t>
        </is>
      </c>
      <c r="D101" s="2" t="n">
        <v>0.6870000000000001</v>
      </c>
      <c r="E101" s="2" t="inlineStr">
        <is>
          <t>per pc</t>
        </is>
      </c>
      <c r="F101" s="2" t="inlineStr">
        <is>
          <t>USD</t>
        </is>
      </c>
      <c r="G101" s="2" t="inlineStr">
        <is>
          <t>excl</t>
        </is>
      </c>
      <c r="H101" s="2" t="inlineStr">
        <is>
          <t>delivered</t>
        </is>
      </c>
      <c r="I101" s="2" t="n">
        <v>60.46</v>
      </c>
      <c r="J101" s="2" t="n">
        <v>57.88</v>
      </c>
      <c r="K101" s="3">
        <f>IF(I101="","",I101/J101-1)</f>
        <v/>
      </c>
      <c r="L101" s="2" t="inlineStr">
        <is>
          <t>USD @ 88.00 assumed; invoiced at RBI rate on invoice date (FX risk); Validity only 15 days</t>
        </is>
      </c>
    </row>
    <row r="102">
      <c r="A102" s="2" t="n">
        <v>20</v>
      </c>
      <c r="B102" s="2" t="inlineStr">
        <is>
          <t>CB-510</t>
        </is>
      </c>
      <c r="C102" s="2" t="inlineStr">
        <is>
          <t>Gupta</t>
        </is>
      </c>
      <c r="D102" s="2" t="n">
        <v>5125</v>
      </c>
      <c r="E102" s="2" t="inlineStr">
        <is>
          <t>per 100 pcs (plain)</t>
        </is>
      </c>
      <c r="F102" s="2" t="inlineStr">
        <is>
          <t>INR</t>
        </is>
      </c>
      <c r="G102" s="2" t="inlineStr">
        <is>
          <t>excl</t>
        </is>
      </c>
      <c r="H102" s="2" t="inlineStr">
        <is>
          <t>ex-works</t>
        </is>
      </c>
      <c r="I102" s="2" t="n">
        <v>55.18</v>
      </c>
      <c r="J102" s="2" t="n">
        <v>57.88</v>
      </c>
      <c r="K102" s="3">
        <f>IF(I102="","",I102/J102-1)</f>
        <v/>
      </c>
      <c r="L102" s="2" t="inlineStr">
        <is>
          <t>Matched to inch size 24 x 16 x 16 (1.6% max dimension deviation); Paper grade not stated; Ex-works: freight est. ₹2/kg; Plain-box rate + ₹0.50/colour print adder</t>
        </is>
      </c>
    </row>
    <row r="103">
      <c r="A103" s="2" t="n">
        <v>20</v>
      </c>
      <c r="B103" s="2" t="inlineStr">
        <is>
          <t>CB-510</t>
        </is>
      </c>
      <c r="C103" s="2" t="inlineStr">
        <is>
          <t>Om Sai</t>
        </is>
      </c>
      <c r="D103" s="2" t="inlineStr">
        <is>
          <t>₹42/kg</t>
        </is>
      </c>
      <c r="E103" s="2" t="inlineStr">
        <is>
          <t>per kg</t>
        </is>
      </c>
      <c r="F103" s="2" t="inlineStr">
        <is>
          <t>INR</t>
        </is>
      </c>
      <c r="G103" s="2" t="inlineStr">
        <is>
          <t>assumed excl</t>
        </is>
      </c>
      <c r="H103" s="2" t="inlineStr">
        <is>
          <t>extra (est ₹2/kg)</t>
        </is>
      </c>
      <c r="I103" s="2" t="n">
        <v>63.54</v>
      </c>
      <c r="J103" s="2" t="n">
        <v>57.88</v>
      </c>
      <c r="K103" s="3">
        <f>IF(I103="","",I103/J103-1)</f>
        <v/>
      </c>
      <c r="L103" s="2" t="inlineStr">
        <is>
          <t>kg rate applied; print adder assumed same as last year; Freight extra: est. ₹2/kg; GST basis not stated – assumed exclusive</t>
        </is>
      </c>
    </row>
    <row r="104">
      <c r="A104" s="2" t="n">
        <v>21</v>
      </c>
      <c r="B104" s="2" t="inlineStr">
        <is>
          <t>CB-511</t>
        </is>
      </c>
      <c r="C104" s="2" t="inlineStr">
        <is>
          <t>Kraftline</t>
        </is>
      </c>
      <c r="D104" s="2" t="n">
        <v>30905</v>
      </c>
      <c r="E104" s="2" t="inlineStr">
        <is>
          <t>per 1000 pcs</t>
        </is>
      </c>
      <c r="F104" s="2" t="inlineStr">
        <is>
          <t>INR</t>
        </is>
      </c>
      <c r="G104" s="2" t="inlineStr">
        <is>
          <t>excl</t>
        </is>
      </c>
      <c r="H104" s="2" t="inlineStr">
        <is>
          <t>delivered</t>
        </is>
      </c>
      <c r="I104" s="2" t="n">
        <v>30.91</v>
      </c>
      <c r="J104" s="2" t="n">
        <v>31.12</v>
      </c>
      <c r="K104" s="3">
        <f>IF(I104="","",I104/J104-1)</f>
        <v/>
      </c>
      <c r="L104" s="2" t="inlineStr"/>
    </row>
    <row r="105">
      <c r="A105" s="2" t="n">
        <v>21</v>
      </c>
      <c r="B105" s="2" t="inlineStr">
        <is>
          <t>CB-511</t>
        </is>
      </c>
      <c r="C105" s="2" t="inlineStr">
        <is>
          <t>Shree Balaji</t>
        </is>
      </c>
      <c r="D105" s="2" t="n">
        <v>52.91</v>
      </c>
      <c r="E105" s="2" t="inlineStr">
        <is>
          <t>per kg</t>
        </is>
      </c>
      <c r="F105" s="2" t="inlineStr">
        <is>
          <t>INR</t>
        </is>
      </c>
      <c r="G105" s="2" t="inlineStr">
        <is>
          <t>incl 18%</t>
        </is>
      </c>
      <c r="H105" s="2" t="inlineStr">
        <is>
          <t>delivered</t>
        </is>
      </c>
      <c r="I105" s="2" t="n">
        <v>31.23</v>
      </c>
      <c r="J105" s="2" t="n">
        <v>31.12</v>
      </c>
      <c r="K105" s="3">
        <f>IF(I105="","",I105/J105-1)</f>
        <v/>
      </c>
      <c r="L105" s="2" t="inlineStr">
        <is>
          <t>GST-inclusive, stripped 18%; 3% discount applied – conditional on PO &gt; ₹10L; Per-kg rate × buyer's computed box weight; vendor weight unconfirmed</t>
        </is>
      </c>
    </row>
    <row r="106">
      <c r="A106" s="2" t="n">
        <v>21</v>
      </c>
      <c r="B106" s="2" t="inlineStr">
        <is>
          <t>CB-511</t>
        </is>
      </c>
      <c r="C106" s="2" t="inlineStr">
        <is>
          <t>Pacific</t>
        </is>
      </c>
      <c r="D106" s="2" t="n">
        <v>0.374</v>
      </c>
      <c r="E106" s="2" t="inlineStr">
        <is>
          <t>per pc</t>
        </is>
      </c>
      <c r="F106" s="2" t="inlineStr">
        <is>
          <t>USD</t>
        </is>
      </c>
      <c r="G106" s="2" t="inlineStr">
        <is>
          <t>excl</t>
        </is>
      </c>
      <c r="H106" s="2" t="inlineStr">
        <is>
          <t>delivered</t>
        </is>
      </c>
      <c r="I106" s="2" t="n">
        <v>32.91</v>
      </c>
      <c r="J106" s="2" t="n">
        <v>31.12</v>
      </c>
      <c r="K106" s="3">
        <f>IF(I106="","",I106/J106-1)</f>
        <v/>
      </c>
      <c r="L106" s="2" t="inlineStr">
        <is>
          <t>USD @ 88.00 assumed; invoiced at RBI rate on invoice date (FX risk); Validity only 15 days</t>
        </is>
      </c>
    </row>
    <row r="107">
      <c r="A107" s="2" t="n">
        <v>21</v>
      </c>
      <c r="B107" s="2" t="inlineStr">
        <is>
          <t>CB-511</t>
        </is>
      </c>
      <c r="C107" s="2" t="inlineStr">
        <is>
          <t>Gupta</t>
        </is>
      </c>
      <c r="D107" s="2" t="inlineStr">
        <is>
          <t>NOT QUOTED</t>
        </is>
      </c>
      <c r="E107" s="2" t="inlineStr"/>
      <c r="F107" s="2" t="inlineStr"/>
      <c r="G107" s="2" t="inlineStr"/>
      <c r="H107" s="2" t="inlineStr"/>
      <c r="I107" s="2" t="n"/>
      <c r="J107" s="2" t="n">
        <v>31.12</v>
      </c>
      <c r="K107" s="2" t="n"/>
      <c r="L107" s="2" t="inlineStr">
        <is>
          <t>Missing line – exclude from per-line award, don't treat as zero</t>
        </is>
      </c>
    </row>
    <row r="108">
      <c r="A108" s="2" t="n">
        <v>21</v>
      </c>
      <c r="B108" s="2" t="inlineStr">
        <is>
          <t>CB-511</t>
        </is>
      </c>
      <c r="C108" s="2" t="inlineStr">
        <is>
          <t>Om Sai</t>
        </is>
      </c>
      <c r="D108" s="2" t="inlineStr">
        <is>
          <t>₹42/kg</t>
        </is>
      </c>
      <c r="E108" s="2" t="inlineStr">
        <is>
          <t>per kg</t>
        </is>
      </c>
      <c r="F108" s="2" t="inlineStr">
        <is>
          <t>INR</t>
        </is>
      </c>
      <c r="G108" s="2" t="inlineStr">
        <is>
          <t>assumed excl</t>
        </is>
      </c>
      <c r="H108" s="2" t="inlineStr">
        <is>
          <t>extra (est ₹2/kg)</t>
        </is>
      </c>
      <c r="I108" s="2" t="n">
        <v>33.99</v>
      </c>
      <c r="J108" s="2" t="n">
        <v>31.12</v>
      </c>
      <c r="K108" s="3">
        <f>IF(I108="","",I108/J108-1)</f>
        <v/>
      </c>
      <c r="L108" s="2" t="inlineStr">
        <is>
          <t>kg rate applied; print adder assumed same as last year; Freight extra: est. ₹2/kg; GST basis not stated – assumed exclusive</t>
        </is>
      </c>
    </row>
    <row r="109">
      <c r="A109" s="2" t="n">
        <v>22</v>
      </c>
      <c r="B109" s="2" t="inlineStr">
        <is>
          <t>CB-512</t>
        </is>
      </c>
      <c r="C109" s="2" t="inlineStr">
        <is>
          <t>Kraftline</t>
        </is>
      </c>
      <c r="D109" s="2" t="n">
        <v>54860</v>
      </c>
      <c r="E109" s="2" t="inlineStr">
        <is>
          <t>per 1000 pcs</t>
        </is>
      </c>
      <c r="F109" s="2" t="inlineStr">
        <is>
          <t>INR</t>
        </is>
      </c>
      <c r="G109" s="2" t="inlineStr">
        <is>
          <t>excl</t>
        </is>
      </c>
      <c r="H109" s="2" t="inlineStr">
        <is>
          <t>delivered</t>
        </is>
      </c>
      <c r="I109" s="2" t="n">
        <v>54.86</v>
      </c>
      <c r="J109" s="2" t="n">
        <v>57.87</v>
      </c>
      <c r="K109" s="3">
        <f>IF(I109="","",I109/J109-1)</f>
        <v/>
      </c>
      <c r="L109" s="2" t="inlineStr"/>
    </row>
    <row r="110">
      <c r="A110" s="2" t="n">
        <v>22</v>
      </c>
      <c r="B110" s="2" t="inlineStr">
        <is>
          <t>CB-512</t>
        </is>
      </c>
      <c r="C110" s="2" t="inlineStr">
        <is>
          <t>Shree Balaji</t>
        </is>
      </c>
      <c r="D110" s="2" t="n">
        <v>48.47</v>
      </c>
      <c r="E110" s="2" t="inlineStr">
        <is>
          <t>per kg</t>
        </is>
      </c>
      <c r="F110" s="2" t="inlineStr">
        <is>
          <t>INR</t>
        </is>
      </c>
      <c r="G110" s="2" t="inlineStr">
        <is>
          <t>incl 18%</t>
        </is>
      </c>
      <c r="H110" s="2" t="inlineStr">
        <is>
          <t>delivered</t>
        </is>
      </c>
      <c r="I110" s="2" t="n">
        <v>57.65</v>
      </c>
      <c r="J110" s="2" t="n">
        <v>57.87</v>
      </c>
      <c r="K110" s="3">
        <f>IF(I110="","",I110/J110-1)</f>
        <v/>
      </c>
      <c r="L110" s="2" t="inlineStr">
        <is>
          <t>GST-inclusive, stripped 18%; 3% discount applied – conditional on PO &gt; ₹10L; Per-kg rate × buyer's computed box weight; vendor weight unconfirmed</t>
        </is>
      </c>
    </row>
    <row r="111">
      <c r="A111" s="2" t="n">
        <v>22</v>
      </c>
      <c r="B111" s="2" t="inlineStr">
        <is>
          <t>CB-512</t>
        </is>
      </c>
      <c r="C111" s="2" t="inlineStr">
        <is>
          <t>Pacific</t>
        </is>
      </c>
      <c r="D111" s="2" t="n">
        <v>0.674</v>
      </c>
      <c r="E111" s="2" t="inlineStr">
        <is>
          <t>per pc</t>
        </is>
      </c>
      <c r="F111" s="2" t="inlineStr">
        <is>
          <t>USD</t>
        </is>
      </c>
      <c r="G111" s="2" t="inlineStr">
        <is>
          <t>excl</t>
        </is>
      </c>
      <c r="H111" s="2" t="inlineStr">
        <is>
          <t>delivered</t>
        </is>
      </c>
      <c r="I111" s="2" t="n">
        <v>59.31</v>
      </c>
      <c r="J111" s="2" t="n">
        <v>57.87</v>
      </c>
      <c r="K111" s="3">
        <f>IF(I111="","",I111/J111-1)</f>
        <v/>
      </c>
      <c r="L111" s="2" t="inlineStr">
        <is>
          <t>USD @ 88.00 assumed; invoiced at RBI rate on invoice date (FX risk); Validity only 15 days</t>
        </is>
      </c>
    </row>
    <row r="112">
      <c r="A112" s="2" t="n">
        <v>22</v>
      </c>
      <c r="B112" s="2" t="inlineStr">
        <is>
          <t>CB-512</t>
        </is>
      </c>
      <c r="C112" s="2" t="inlineStr">
        <is>
          <t>Gupta</t>
        </is>
      </c>
      <c r="D112" s="2" t="inlineStr">
        <is>
          <t>NOT QUOTED</t>
        </is>
      </c>
      <c r="E112" s="2" t="inlineStr"/>
      <c r="F112" s="2" t="inlineStr"/>
      <c r="G112" s="2" t="inlineStr"/>
      <c r="H112" s="2" t="inlineStr"/>
      <c r="I112" s="2" t="n"/>
      <c r="J112" s="2" t="n">
        <v>57.87</v>
      </c>
      <c r="K112" s="2" t="n"/>
      <c r="L112" s="2" t="inlineStr">
        <is>
          <t>Missing line – exclude from per-line award, don't treat as zero</t>
        </is>
      </c>
    </row>
    <row r="113">
      <c r="A113" s="2" t="n">
        <v>22</v>
      </c>
      <c r="B113" s="2" t="inlineStr">
        <is>
          <t>CB-512</t>
        </is>
      </c>
      <c r="C113" s="2" t="inlineStr">
        <is>
          <t>Om Sai</t>
        </is>
      </c>
      <c r="D113" s="2" t="inlineStr">
        <is>
          <t>₹42/kg</t>
        </is>
      </c>
      <c r="E113" s="2" t="inlineStr">
        <is>
          <t>per kg</t>
        </is>
      </c>
      <c r="F113" s="2" t="inlineStr">
        <is>
          <t>INR</t>
        </is>
      </c>
      <c r="G113" s="2" t="inlineStr">
        <is>
          <t>assumed excl</t>
        </is>
      </c>
      <c r="H113" s="2" t="inlineStr">
        <is>
          <t>extra (est ₹2/kg)</t>
        </is>
      </c>
      <c r="I113" s="2" t="n">
        <v>63.67</v>
      </c>
      <c r="J113" s="2" t="n">
        <v>57.87</v>
      </c>
      <c r="K113" s="3">
        <f>IF(I113="","",I113/J113-1)</f>
        <v/>
      </c>
      <c r="L113" s="2" t="inlineStr">
        <is>
          <t>kg rate applied; print adder assumed same as last year; Freight extra: est. ₹2/kg; GST basis not stated – assumed exclusive</t>
        </is>
      </c>
    </row>
    <row r="114">
      <c r="A114" s="2" t="n">
        <v>23</v>
      </c>
      <c r="B114" s="2" t="inlineStr">
        <is>
          <t>CB-701</t>
        </is>
      </c>
      <c r="C114" s="2" t="inlineStr">
        <is>
          <t>Kraftline</t>
        </is>
      </c>
      <c r="D114" s="2" t="inlineStr">
        <is>
          <t>NOT QUOTED</t>
        </is>
      </c>
      <c r="E114" s="2" t="inlineStr"/>
      <c r="F114" s="2" t="inlineStr"/>
      <c r="G114" s="2" t="inlineStr"/>
      <c r="H114" s="2" t="inlineStr"/>
      <c r="I114" s="2" t="n"/>
      <c r="J114" s="2" t="n">
        <v>202.18</v>
      </c>
      <c r="K114" s="2" t="n"/>
      <c r="L114" s="2" t="inlineStr">
        <is>
          <t>Missing line – exclude from per-line award, don't treat as zero</t>
        </is>
      </c>
    </row>
    <row r="115">
      <c r="A115" s="2" t="n">
        <v>23</v>
      </c>
      <c r="B115" s="2" t="inlineStr">
        <is>
          <t>CB-701</t>
        </is>
      </c>
      <c r="C115" s="2" t="inlineStr">
        <is>
          <t>Shree Balaji</t>
        </is>
      </c>
      <c r="D115" s="2" t="n">
        <v>248.21</v>
      </c>
      <c r="E115" s="2" t="inlineStr">
        <is>
          <t>per pc</t>
        </is>
      </c>
      <c r="F115" s="2" t="inlineStr">
        <is>
          <t>INR</t>
        </is>
      </c>
      <c r="G115" s="2" t="inlineStr">
        <is>
          <t>incl 18%</t>
        </is>
      </c>
      <c r="H115" s="2" t="inlineStr">
        <is>
          <t>delivered</t>
        </is>
      </c>
      <c r="I115" s="2" t="n">
        <v>204.04</v>
      </c>
      <c r="J115" s="2" t="n">
        <v>202.18</v>
      </c>
      <c r="K115" s="3">
        <f>IF(I115="","",I115/J115-1)</f>
        <v/>
      </c>
      <c r="L115" s="2" t="inlineStr">
        <is>
          <t>GST-inclusive, stripped 18%; 3% discount applied – conditional on PO &gt; ₹10L</t>
        </is>
      </c>
    </row>
    <row r="116">
      <c r="A116" s="2" t="n">
        <v>23</v>
      </c>
      <c r="B116" s="2" t="inlineStr">
        <is>
          <t>CB-701</t>
        </is>
      </c>
      <c r="C116" s="2" t="inlineStr">
        <is>
          <t>Pacific</t>
        </is>
      </c>
      <c r="D116" s="2" t="n">
        <v>2.064</v>
      </c>
      <c r="E116" s="2" t="inlineStr">
        <is>
          <t>per pc</t>
        </is>
      </c>
      <c r="F116" s="2" t="inlineStr">
        <is>
          <t>USD</t>
        </is>
      </c>
      <c r="G116" s="2" t="inlineStr">
        <is>
          <t>excl</t>
        </is>
      </c>
      <c r="H116" s="2" t="inlineStr">
        <is>
          <t>delivered</t>
        </is>
      </c>
      <c r="I116" s="2" t="n">
        <v>181.63</v>
      </c>
      <c r="J116" s="2" t="n">
        <v>202.18</v>
      </c>
      <c r="K116" s="3">
        <f>IF(I116="","",I116/J116-1)</f>
        <v/>
      </c>
      <c r="L116" s="2" t="inlineStr">
        <is>
          <t>USD @ 88.00 assumed; invoiced at RBI rate on invoice date (FX risk); Validity only 15 days</t>
        </is>
      </c>
    </row>
    <row r="117">
      <c r="A117" s="2" t="n">
        <v>23</v>
      </c>
      <c r="B117" s="2" t="inlineStr">
        <is>
          <t>CB-701</t>
        </is>
      </c>
      <c r="C117" s="2" t="inlineStr">
        <is>
          <t>Gupta</t>
        </is>
      </c>
      <c r="D117" s="2" t="inlineStr">
        <is>
          <t>NOT QUOTED</t>
        </is>
      </c>
      <c r="E117" s="2" t="inlineStr"/>
      <c r="F117" s="2" t="inlineStr"/>
      <c r="G117" s="2" t="inlineStr"/>
      <c r="H117" s="2" t="inlineStr"/>
      <c r="I117" s="2" t="n"/>
      <c r="J117" s="2" t="n">
        <v>202.18</v>
      </c>
      <c r="K117" s="2" t="n"/>
      <c r="L117" s="2" t="inlineStr">
        <is>
          <t>Missing line – exclude from per-line award, don't treat as zero</t>
        </is>
      </c>
    </row>
    <row r="118">
      <c r="A118" s="2" t="n">
        <v>23</v>
      </c>
      <c r="B118" s="2" t="inlineStr">
        <is>
          <t>CB-701</t>
        </is>
      </c>
      <c r="C118" s="2" t="inlineStr">
        <is>
          <t>Om Sai</t>
        </is>
      </c>
      <c r="D118" s="2" t="inlineStr">
        <is>
          <t>same as last year</t>
        </is>
      </c>
      <c r="E118" s="2" t="inlineStr">
        <is>
          <t>per pc</t>
        </is>
      </c>
      <c r="F118" s="2" t="inlineStr">
        <is>
          <t>INR</t>
        </is>
      </c>
      <c r="G118" s="2" t="inlineStr">
        <is>
          <t>assumed excl</t>
        </is>
      </c>
      <c r="H118" s="2" t="inlineStr">
        <is>
          <t>extra (est ₹2/kg)</t>
        </is>
      </c>
      <c r="I118" s="2" t="n">
        <v>210.97</v>
      </c>
      <c r="J118" s="2" t="n">
        <v>202.18</v>
      </c>
      <c r="K118" s="3">
        <f>IF(I118="","",I118/J118-1)</f>
        <v/>
      </c>
      <c r="L118" s="2" t="inlineStr">
        <is>
          <t>resolved to last-year ₹202.18/pc; Freight extra: est. ₹2/kg; GST basis not stated – assumed exclusive</t>
        </is>
      </c>
    </row>
    <row r="119">
      <c r="A119" s="2" t="n">
        <v>24</v>
      </c>
      <c r="B119" s="2" t="inlineStr">
        <is>
          <t>CB-702</t>
        </is>
      </c>
      <c r="C119" s="2" t="inlineStr">
        <is>
          <t>Kraftline</t>
        </is>
      </c>
      <c r="D119" s="2" t="inlineStr">
        <is>
          <t>NOT QUOTED</t>
        </is>
      </c>
      <c r="E119" s="2" t="inlineStr"/>
      <c r="F119" s="2" t="inlineStr"/>
      <c r="G119" s="2" t="inlineStr"/>
      <c r="H119" s="2" t="inlineStr"/>
      <c r="I119" s="2" t="n"/>
      <c r="J119" s="2" t="n">
        <v>145.55</v>
      </c>
      <c r="K119" s="2" t="n"/>
      <c r="L119" s="2" t="inlineStr">
        <is>
          <t>Missing line – exclude from per-line award, don't treat as zero</t>
        </is>
      </c>
    </row>
    <row r="120">
      <c r="A120" s="2" t="n">
        <v>24</v>
      </c>
      <c r="B120" s="2" t="inlineStr">
        <is>
          <t>CB-702</t>
        </is>
      </c>
      <c r="C120" s="2" t="inlineStr">
        <is>
          <t>Shree Balaji</t>
        </is>
      </c>
      <c r="D120" s="2" t="n">
        <v>184.94</v>
      </c>
      <c r="E120" s="2" t="inlineStr">
        <is>
          <t>per pc</t>
        </is>
      </c>
      <c r="F120" s="2" t="inlineStr">
        <is>
          <t>INR</t>
        </is>
      </c>
      <c r="G120" s="2" t="inlineStr">
        <is>
          <t>incl 18%</t>
        </is>
      </c>
      <c r="H120" s="2" t="inlineStr">
        <is>
          <t>delivered</t>
        </is>
      </c>
      <c r="I120" s="2" t="n">
        <v>152.03</v>
      </c>
      <c r="J120" s="2" t="n">
        <v>145.55</v>
      </c>
      <c r="K120" s="3">
        <f>IF(I120="","",I120/J120-1)</f>
        <v/>
      </c>
      <c r="L120" s="2" t="inlineStr">
        <is>
          <t>GST-inclusive, stripped 18%; 3% discount applied – conditional on PO &gt; ₹10L</t>
        </is>
      </c>
    </row>
    <row r="121">
      <c r="A121" s="2" t="n">
        <v>24</v>
      </c>
      <c r="B121" s="2" t="inlineStr">
        <is>
          <t>CB-702</t>
        </is>
      </c>
      <c r="C121" s="2" t="inlineStr">
        <is>
          <t>Pacific</t>
        </is>
      </c>
      <c r="D121" s="2" t="n">
        <v>1.464</v>
      </c>
      <c r="E121" s="2" t="inlineStr">
        <is>
          <t>per pc</t>
        </is>
      </c>
      <c r="F121" s="2" t="inlineStr">
        <is>
          <t>USD</t>
        </is>
      </c>
      <c r="G121" s="2" t="inlineStr">
        <is>
          <t>excl</t>
        </is>
      </c>
      <c r="H121" s="2" t="inlineStr">
        <is>
          <t>delivered</t>
        </is>
      </c>
      <c r="I121" s="2" t="n">
        <v>128.83</v>
      </c>
      <c r="J121" s="2" t="n">
        <v>145.55</v>
      </c>
      <c r="K121" s="3">
        <f>IF(I121="","",I121/J121-1)</f>
        <v/>
      </c>
      <c r="L121" s="2" t="inlineStr">
        <is>
          <t>USD @ 88.00 assumed; invoiced at RBI rate on invoice date (FX risk); Validity only 15 days</t>
        </is>
      </c>
    </row>
    <row r="122">
      <c r="A122" s="2" t="n">
        <v>24</v>
      </c>
      <c r="B122" s="2" t="inlineStr">
        <is>
          <t>CB-702</t>
        </is>
      </c>
      <c r="C122" s="2" t="inlineStr">
        <is>
          <t>Gupta</t>
        </is>
      </c>
      <c r="D122" s="2" t="inlineStr">
        <is>
          <t>NOT QUOTED</t>
        </is>
      </c>
      <c r="E122" s="2" t="inlineStr"/>
      <c r="F122" s="2" t="inlineStr"/>
      <c r="G122" s="2" t="inlineStr"/>
      <c r="H122" s="2" t="inlineStr"/>
      <c r="I122" s="2" t="n"/>
      <c r="J122" s="2" t="n">
        <v>145.55</v>
      </c>
      <c r="K122" s="2" t="n"/>
      <c r="L122" s="2" t="inlineStr">
        <is>
          <t>Missing line – exclude from per-line award, don't treat as zero</t>
        </is>
      </c>
    </row>
    <row r="123">
      <c r="A123" s="2" t="n">
        <v>24</v>
      </c>
      <c r="B123" s="2" t="inlineStr">
        <is>
          <t>CB-702</t>
        </is>
      </c>
      <c r="C123" s="2" t="inlineStr">
        <is>
          <t>Om Sai</t>
        </is>
      </c>
      <c r="D123" s="2" t="inlineStr">
        <is>
          <t>same as last year</t>
        </is>
      </c>
      <c r="E123" s="2" t="inlineStr">
        <is>
          <t>per pc</t>
        </is>
      </c>
      <c r="F123" s="2" t="inlineStr">
        <is>
          <t>INR</t>
        </is>
      </c>
      <c r="G123" s="2" t="inlineStr">
        <is>
          <t>assumed excl</t>
        </is>
      </c>
      <c r="H123" s="2" t="inlineStr">
        <is>
          <t>extra (est ₹2/kg)</t>
        </is>
      </c>
      <c r="I123" s="2" t="n">
        <v>151.85</v>
      </c>
      <c r="J123" s="2" t="n">
        <v>145.55</v>
      </c>
      <c r="K123" s="3">
        <f>IF(I123="","",I123/J123-1)</f>
        <v/>
      </c>
      <c r="L123" s="2" t="inlineStr">
        <is>
          <t>resolved to last-year ₹145.55/pc; Freight extra: est. ₹2/kg; GST basis not stated – assumed exclusive</t>
        </is>
      </c>
    </row>
    <row r="124">
      <c r="A124" s="2" t="n">
        <v>25</v>
      </c>
      <c r="B124" s="2" t="inlineStr">
        <is>
          <t>DC-101</t>
        </is>
      </c>
      <c r="C124" s="2" t="inlineStr">
        <is>
          <t>Kraftline</t>
        </is>
      </c>
      <c r="D124" s="2" t="inlineStr">
        <is>
          <t>NOT QUOTED</t>
        </is>
      </c>
      <c r="E124" s="2" t="inlineStr"/>
      <c r="F124" s="2" t="inlineStr"/>
      <c r="G124" s="2" t="inlineStr"/>
      <c r="H124" s="2" t="inlineStr"/>
      <c r="I124" s="2" t="n"/>
      <c r="J124" s="2" t="n">
        <v>8.449999999999999</v>
      </c>
      <c r="K124" s="2" t="n"/>
      <c r="L124" s="2" t="inlineStr">
        <is>
          <t>Missing line – exclude from per-line award, don't treat as zero</t>
        </is>
      </c>
    </row>
    <row r="125">
      <c r="A125" s="2" t="n">
        <v>25</v>
      </c>
      <c r="B125" s="2" t="inlineStr">
        <is>
          <t>DC-101</t>
        </is>
      </c>
      <c r="C125" s="2" t="inlineStr">
        <is>
          <t>Shree Balaji</t>
        </is>
      </c>
      <c r="D125" s="2" t="n">
        <v>10.08</v>
      </c>
      <c r="E125" s="2" t="inlineStr">
        <is>
          <t>per pc</t>
        </is>
      </c>
      <c r="F125" s="2" t="inlineStr">
        <is>
          <t>INR</t>
        </is>
      </c>
      <c r="G125" s="2" t="inlineStr">
        <is>
          <t>incl 18%</t>
        </is>
      </c>
      <c r="H125" s="2" t="inlineStr">
        <is>
          <t>delivered</t>
        </is>
      </c>
      <c r="I125" s="2" t="n">
        <v>8.289999999999999</v>
      </c>
      <c r="J125" s="2" t="n">
        <v>8.449999999999999</v>
      </c>
      <c r="K125" s="3">
        <f>IF(I125="","",I125/J125-1)</f>
        <v/>
      </c>
      <c r="L125" s="2" t="inlineStr">
        <is>
          <t>GST-inclusive, stripped 18%; 3% discount applied – conditional on PO &gt; ₹10L</t>
        </is>
      </c>
    </row>
    <row r="126">
      <c r="A126" s="2" t="n">
        <v>25</v>
      </c>
      <c r="B126" s="2" t="inlineStr">
        <is>
          <t>DC-101</t>
        </is>
      </c>
      <c r="C126" s="2" t="inlineStr">
        <is>
          <t>Pacific</t>
        </is>
      </c>
      <c r="D126" s="2" t="n">
        <v>0.08699999999999999</v>
      </c>
      <c r="E126" s="2" t="inlineStr">
        <is>
          <t>per pc</t>
        </is>
      </c>
      <c r="F126" s="2" t="inlineStr">
        <is>
          <t>USD</t>
        </is>
      </c>
      <c r="G126" s="2" t="inlineStr">
        <is>
          <t>excl</t>
        </is>
      </c>
      <c r="H126" s="2" t="inlineStr">
        <is>
          <t>delivered</t>
        </is>
      </c>
      <c r="I126" s="2" t="n">
        <v>7.66</v>
      </c>
      <c r="J126" s="2" t="n">
        <v>8.449999999999999</v>
      </c>
      <c r="K126" s="3">
        <f>IF(I126="","",I126/J126-1)</f>
        <v/>
      </c>
      <c r="L126" s="2" t="inlineStr">
        <is>
          <t>USD @ 88.00 assumed; invoiced at RBI rate on invoice date (FX risk); Validity only 15 days</t>
        </is>
      </c>
    </row>
    <row r="127">
      <c r="A127" s="2" t="n">
        <v>25</v>
      </c>
      <c r="B127" s="2" t="inlineStr">
        <is>
          <t>DC-101</t>
        </is>
      </c>
      <c r="C127" s="2" t="inlineStr">
        <is>
          <t>Gupta</t>
        </is>
      </c>
      <c r="D127" s="2" t="inlineStr">
        <is>
          <t>NOT QUOTED</t>
        </is>
      </c>
      <c r="E127" s="2" t="inlineStr"/>
      <c r="F127" s="2" t="inlineStr"/>
      <c r="G127" s="2" t="inlineStr"/>
      <c r="H127" s="2" t="inlineStr"/>
      <c r="I127" s="2" t="n"/>
      <c r="J127" s="2" t="n">
        <v>8.449999999999999</v>
      </c>
      <c r="K127" s="2" t="n"/>
      <c r="L127" s="2" t="inlineStr">
        <is>
          <t>Missing line – exclude from per-line award, don't treat as zero</t>
        </is>
      </c>
    </row>
    <row r="128">
      <c r="A128" s="2" t="n">
        <v>25</v>
      </c>
      <c r="B128" s="2" t="inlineStr">
        <is>
          <t>DC-101</t>
        </is>
      </c>
      <c r="C128" s="2" t="inlineStr">
        <is>
          <t>Om Sai</t>
        </is>
      </c>
      <c r="D128" s="2" t="inlineStr">
        <is>
          <t>same as last year</t>
        </is>
      </c>
      <c r="E128" s="2" t="inlineStr">
        <is>
          <t>per pc</t>
        </is>
      </c>
      <c r="F128" s="2" t="inlineStr">
        <is>
          <t>INR</t>
        </is>
      </c>
      <c r="G128" s="2" t="inlineStr">
        <is>
          <t>assumed excl</t>
        </is>
      </c>
      <c r="H128" s="2" t="inlineStr">
        <is>
          <t>extra (est ₹2/kg)</t>
        </is>
      </c>
      <c r="I128" s="2" t="n">
        <v>8.73</v>
      </c>
      <c r="J128" s="2" t="n">
        <v>8.449999999999999</v>
      </c>
      <c r="K128" s="3">
        <f>IF(I128="","",I128/J128-1)</f>
        <v/>
      </c>
      <c r="L128" s="2" t="inlineStr">
        <is>
          <t>resolved to last-year ₹8.45/pc; Freight extra: est. ₹2/kg; GST basis not stated – assumed exclusive</t>
        </is>
      </c>
    </row>
    <row r="129">
      <c r="A129" s="2" t="n">
        <v>26</v>
      </c>
      <c r="B129" s="2" t="inlineStr">
        <is>
          <t>DC-102</t>
        </is>
      </c>
      <c r="C129" s="2" t="inlineStr">
        <is>
          <t>Kraftline</t>
        </is>
      </c>
      <c r="D129" s="2" t="n">
        <v>5800</v>
      </c>
      <c r="E129" s="2" t="inlineStr">
        <is>
          <t>per 1000 pcs</t>
        </is>
      </c>
      <c r="F129" s="2" t="inlineStr">
        <is>
          <t>INR</t>
        </is>
      </c>
      <c r="G129" s="2" t="inlineStr">
        <is>
          <t>excl</t>
        </is>
      </c>
      <c r="H129" s="2" t="inlineStr">
        <is>
          <t>delivered</t>
        </is>
      </c>
      <c r="I129" s="2" t="n">
        <v>5.8</v>
      </c>
      <c r="J129" s="2" t="n">
        <v>5.48</v>
      </c>
      <c r="K129" s="3">
        <f>IF(I129="","",I129/J129-1)</f>
        <v/>
      </c>
      <c r="L129" s="2" t="inlineStr"/>
    </row>
    <row r="130">
      <c r="A130" s="2" t="n">
        <v>26</v>
      </c>
      <c r="B130" s="2" t="inlineStr">
        <is>
          <t>DC-102</t>
        </is>
      </c>
      <c r="C130" s="2" t="inlineStr">
        <is>
          <t>Shree Balaji</t>
        </is>
      </c>
      <c r="D130" s="2" t="n">
        <v>6.64</v>
      </c>
      <c r="E130" s="2" t="inlineStr">
        <is>
          <t>per pc</t>
        </is>
      </c>
      <c r="F130" s="2" t="inlineStr">
        <is>
          <t>INR</t>
        </is>
      </c>
      <c r="G130" s="2" t="inlineStr">
        <is>
          <t>incl 18%</t>
        </is>
      </c>
      <c r="H130" s="2" t="inlineStr">
        <is>
          <t>delivered</t>
        </is>
      </c>
      <c r="I130" s="2" t="n">
        <v>5.46</v>
      </c>
      <c r="J130" s="2" t="n">
        <v>5.48</v>
      </c>
      <c r="K130" s="3">
        <f>IF(I130="","",I130/J130-1)</f>
        <v/>
      </c>
      <c r="L130" s="2" t="inlineStr">
        <is>
          <t>GST-inclusive, stripped 18%; 3% discount applied – conditional on PO &gt; ₹10L</t>
        </is>
      </c>
    </row>
    <row r="131">
      <c r="A131" s="2" t="n">
        <v>26</v>
      </c>
      <c r="B131" s="2" t="inlineStr">
        <is>
          <t>DC-102</t>
        </is>
      </c>
      <c r="C131" s="2" t="inlineStr">
        <is>
          <t>Pacific</t>
        </is>
      </c>
      <c r="D131" s="2" t="n">
        <v>0.056</v>
      </c>
      <c r="E131" s="2" t="inlineStr">
        <is>
          <t>per pc</t>
        </is>
      </c>
      <c r="F131" s="2" t="inlineStr">
        <is>
          <t>USD</t>
        </is>
      </c>
      <c r="G131" s="2" t="inlineStr">
        <is>
          <t>excl</t>
        </is>
      </c>
      <c r="H131" s="2" t="inlineStr">
        <is>
          <t>delivered</t>
        </is>
      </c>
      <c r="I131" s="2" t="n">
        <v>4.93</v>
      </c>
      <c r="J131" s="2" t="n">
        <v>5.48</v>
      </c>
      <c r="K131" s="3">
        <f>IF(I131="","",I131/J131-1)</f>
        <v/>
      </c>
      <c r="L131" s="2" t="inlineStr">
        <is>
          <t>USD @ 88.00 assumed; invoiced at RBI rate on invoice date (FX risk); Validity only 15 days</t>
        </is>
      </c>
    </row>
    <row r="132">
      <c r="A132" s="2" t="n">
        <v>26</v>
      </c>
      <c r="B132" s="2" t="inlineStr">
        <is>
          <t>DC-102</t>
        </is>
      </c>
      <c r="C132" s="2" t="inlineStr">
        <is>
          <t>Gupta</t>
        </is>
      </c>
      <c r="D132" s="2" t="inlineStr">
        <is>
          <t>NOT QUOTED</t>
        </is>
      </c>
      <c r="E132" s="2" t="inlineStr"/>
      <c r="F132" s="2" t="inlineStr"/>
      <c r="G132" s="2" t="inlineStr"/>
      <c r="H132" s="2" t="inlineStr"/>
      <c r="I132" s="2" t="n"/>
      <c r="J132" s="2" t="n">
        <v>5.48</v>
      </c>
      <c r="K132" s="2" t="n"/>
      <c r="L132" s="2" t="inlineStr">
        <is>
          <t>Missing line – exclude from per-line award, don't treat as zero</t>
        </is>
      </c>
    </row>
    <row r="133">
      <c r="A133" s="2" t="n">
        <v>26</v>
      </c>
      <c r="B133" s="2" t="inlineStr">
        <is>
          <t>DC-102</t>
        </is>
      </c>
      <c r="C133" s="2" t="inlineStr">
        <is>
          <t>Om Sai</t>
        </is>
      </c>
      <c r="D133" s="2" t="inlineStr">
        <is>
          <t>same as last year</t>
        </is>
      </c>
      <c r="E133" s="2" t="inlineStr">
        <is>
          <t>per pc</t>
        </is>
      </c>
      <c r="F133" s="2" t="inlineStr">
        <is>
          <t>INR</t>
        </is>
      </c>
      <c r="G133" s="2" t="inlineStr">
        <is>
          <t>assumed excl</t>
        </is>
      </c>
      <c r="H133" s="2" t="inlineStr">
        <is>
          <t>extra (est ₹2/kg)</t>
        </is>
      </c>
      <c r="I133" s="2" t="n">
        <v>5.67</v>
      </c>
      <c r="J133" s="2" t="n">
        <v>5.48</v>
      </c>
      <c r="K133" s="3">
        <f>IF(I133="","",I133/J133-1)</f>
        <v/>
      </c>
      <c r="L133" s="2" t="inlineStr">
        <is>
          <t>resolved to last-year ₹5.48/pc; Freight extra: est. ₹2/kg; GST basis not stated – assumed exclusive</t>
        </is>
      </c>
    </row>
    <row r="134">
      <c r="A134" s="2" t="n">
        <v>27</v>
      </c>
      <c r="B134" s="2" t="inlineStr">
        <is>
          <t>PT-101</t>
        </is>
      </c>
      <c r="C134" s="2" t="inlineStr">
        <is>
          <t>Kraftline</t>
        </is>
      </c>
      <c r="D134" s="2" t="n">
        <v>3660</v>
      </c>
      <c r="E134" s="2" t="inlineStr">
        <is>
          <t>per 1000 pcs</t>
        </is>
      </c>
      <c r="F134" s="2" t="inlineStr">
        <is>
          <t>INR</t>
        </is>
      </c>
      <c r="G134" s="2" t="inlineStr">
        <is>
          <t>excl</t>
        </is>
      </c>
      <c r="H134" s="2" t="inlineStr">
        <is>
          <t>delivered</t>
        </is>
      </c>
      <c r="I134" s="2" t="n">
        <v>3.66</v>
      </c>
      <c r="J134" s="2" t="n">
        <v>3.7</v>
      </c>
      <c r="K134" s="3">
        <f>IF(I134="","",I134/J134-1)</f>
        <v/>
      </c>
      <c r="L134" s="2" t="inlineStr"/>
    </row>
    <row r="135">
      <c r="A135" s="2" t="n">
        <v>27</v>
      </c>
      <c r="B135" s="2" t="inlineStr">
        <is>
          <t>PT-101</t>
        </is>
      </c>
      <c r="C135" s="2" t="inlineStr">
        <is>
          <t>Shree Balaji</t>
        </is>
      </c>
      <c r="D135" s="2" t="n">
        <v>4.42</v>
      </c>
      <c r="E135" s="2" t="inlineStr">
        <is>
          <t>per pc</t>
        </is>
      </c>
      <c r="F135" s="2" t="inlineStr">
        <is>
          <t>INR</t>
        </is>
      </c>
      <c r="G135" s="2" t="inlineStr">
        <is>
          <t>incl 18%</t>
        </is>
      </c>
      <c r="H135" s="2" t="inlineStr">
        <is>
          <t>delivered</t>
        </is>
      </c>
      <c r="I135" s="2" t="n">
        <v>3.63</v>
      </c>
      <c r="J135" s="2" t="n">
        <v>3.7</v>
      </c>
      <c r="K135" s="3">
        <f>IF(I135="","",I135/J135-1)</f>
        <v/>
      </c>
      <c r="L135" s="2" t="inlineStr">
        <is>
          <t>GST-inclusive, stripped 18%; 3% discount applied – conditional on PO &gt; ₹10L</t>
        </is>
      </c>
    </row>
    <row r="136">
      <c r="A136" s="2" t="n">
        <v>27</v>
      </c>
      <c r="B136" s="2" t="inlineStr">
        <is>
          <t>PT-101</t>
        </is>
      </c>
      <c r="C136" s="2" t="inlineStr">
        <is>
          <t>Pacific</t>
        </is>
      </c>
      <c r="D136" s="2" t="n">
        <v>0.046</v>
      </c>
      <c r="E136" s="2" t="inlineStr">
        <is>
          <t>per pc</t>
        </is>
      </c>
      <c r="F136" s="2" t="inlineStr">
        <is>
          <t>USD</t>
        </is>
      </c>
      <c r="G136" s="2" t="inlineStr">
        <is>
          <t>excl</t>
        </is>
      </c>
      <c r="H136" s="2" t="inlineStr">
        <is>
          <t>delivered</t>
        </is>
      </c>
      <c r="I136" s="2" t="n">
        <v>4.05</v>
      </c>
      <c r="J136" s="2" t="n">
        <v>3.7</v>
      </c>
      <c r="K136" s="3">
        <f>IF(I136="","",I136/J136-1)</f>
        <v/>
      </c>
      <c r="L136" s="2" t="inlineStr">
        <is>
          <t>USD @ 88.00 assumed; invoiced at RBI rate on invoice date (FX risk); Validity only 15 days</t>
        </is>
      </c>
    </row>
    <row r="137">
      <c r="A137" s="2" t="n">
        <v>27</v>
      </c>
      <c r="B137" s="2" t="inlineStr">
        <is>
          <t>PT-101</t>
        </is>
      </c>
      <c r="C137" s="2" t="inlineStr">
        <is>
          <t>Gupta</t>
        </is>
      </c>
      <c r="D137" s="2" t="inlineStr">
        <is>
          <t>NOT QUOTED</t>
        </is>
      </c>
      <c r="E137" s="2" t="inlineStr"/>
      <c r="F137" s="2" t="inlineStr"/>
      <c r="G137" s="2" t="inlineStr"/>
      <c r="H137" s="2" t="inlineStr"/>
      <c r="I137" s="2" t="n"/>
      <c r="J137" s="2" t="n">
        <v>3.7</v>
      </c>
      <c r="K137" s="2" t="n"/>
      <c r="L137" s="2" t="inlineStr">
        <is>
          <t>Missing line – exclude from per-line award, don't treat as zero</t>
        </is>
      </c>
    </row>
    <row r="138">
      <c r="A138" s="2" t="n">
        <v>27</v>
      </c>
      <c r="B138" s="2" t="inlineStr">
        <is>
          <t>PT-101</t>
        </is>
      </c>
      <c r="C138" s="2" t="inlineStr">
        <is>
          <t>Om Sai</t>
        </is>
      </c>
      <c r="D138" s="2" t="inlineStr">
        <is>
          <t>same as last year</t>
        </is>
      </c>
      <c r="E138" s="2" t="inlineStr">
        <is>
          <t>per pc</t>
        </is>
      </c>
      <c r="F138" s="2" t="inlineStr">
        <is>
          <t>INR</t>
        </is>
      </c>
      <c r="G138" s="2" t="inlineStr">
        <is>
          <t>assumed excl</t>
        </is>
      </c>
      <c r="H138" s="2" t="inlineStr">
        <is>
          <t>extra (est ₹2/kg)</t>
        </is>
      </c>
      <c r="I138" s="2" t="n">
        <v>3.91</v>
      </c>
      <c r="J138" s="2" t="n">
        <v>3.7</v>
      </c>
      <c r="K138" s="3">
        <f>IF(I138="","",I138/J138-1)</f>
        <v/>
      </c>
      <c r="L138" s="2" t="inlineStr">
        <is>
          <t>resolved to last-year ₹3.7/pc; Freight extra: est. ₹2/kg; GST basis not stated – assumed exclusive</t>
        </is>
      </c>
    </row>
    <row r="139">
      <c r="A139" s="2" t="n">
        <v>28</v>
      </c>
      <c r="B139" s="2" t="inlineStr">
        <is>
          <t>PT-102</t>
        </is>
      </c>
      <c r="C139" s="2" t="inlineStr">
        <is>
          <t>Kraftline</t>
        </is>
      </c>
      <c r="D139" s="2" t="n">
        <v>5100</v>
      </c>
      <c r="E139" s="2" t="inlineStr">
        <is>
          <t>per 1000 pcs</t>
        </is>
      </c>
      <c r="F139" s="2" t="inlineStr">
        <is>
          <t>INR</t>
        </is>
      </c>
      <c r="G139" s="2" t="inlineStr">
        <is>
          <t>excl</t>
        </is>
      </c>
      <c r="H139" s="2" t="inlineStr">
        <is>
          <t>delivered</t>
        </is>
      </c>
      <c r="I139" s="2" t="n">
        <v>5.1</v>
      </c>
      <c r="J139" s="2" t="n">
        <v>5.19</v>
      </c>
      <c r="K139" s="3">
        <f>IF(I139="","",I139/J139-1)</f>
        <v/>
      </c>
      <c r="L139" s="2" t="inlineStr"/>
    </row>
    <row r="140">
      <c r="A140" s="2" t="n">
        <v>28</v>
      </c>
      <c r="B140" s="2" t="inlineStr">
        <is>
          <t>PT-102</t>
        </is>
      </c>
      <c r="C140" s="2" t="inlineStr">
        <is>
          <t>Shree Balaji</t>
        </is>
      </c>
      <c r="D140" s="2" t="n">
        <v>6.02</v>
      </c>
      <c r="E140" s="2" t="inlineStr">
        <is>
          <t>per pc</t>
        </is>
      </c>
      <c r="F140" s="2" t="inlineStr">
        <is>
          <t>INR</t>
        </is>
      </c>
      <c r="G140" s="2" t="inlineStr">
        <is>
          <t>incl 18%</t>
        </is>
      </c>
      <c r="H140" s="2" t="inlineStr">
        <is>
          <t>delivered</t>
        </is>
      </c>
      <c r="I140" s="2" t="n">
        <v>4.95</v>
      </c>
      <c r="J140" s="2" t="n">
        <v>5.19</v>
      </c>
      <c r="K140" s="3">
        <f>IF(I140="","",I140/J140-1)</f>
        <v/>
      </c>
      <c r="L140" s="2" t="inlineStr">
        <is>
          <t>GST-inclusive, stripped 18%; 3% discount applied – conditional on PO &gt; ₹10L</t>
        </is>
      </c>
    </row>
    <row r="141">
      <c r="A141" s="2" t="n">
        <v>28</v>
      </c>
      <c r="B141" s="2" t="inlineStr">
        <is>
          <t>PT-102</t>
        </is>
      </c>
      <c r="C141" s="2" t="inlineStr">
        <is>
          <t>Pacific</t>
        </is>
      </c>
      <c r="D141" s="2" t="n">
        <v>0.063</v>
      </c>
      <c r="E141" s="2" t="inlineStr">
        <is>
          <t>per pc</t>
        </is>
      </c>
      <c r="F141" s="2" t="inlineStr">
        <is>
          <t>USD</t>
        </is>
      </c>
      <c r="G141" s="2" t="inlineStr">
        <is>
          <t>excl</t>
        </is>
      </c>
      <c r="H141" s="2" t="inlineStr">
        <is>
          <t>delivered</t>
        </is>
      </c>
      <c r="I141" s="2" t="n">
        <v>5.54</v>
      </c>
      <c r="J141" s="2" t="n">
        <v>5.19</v>
      </c>
      <c r="K141" s="3">
        <f>IF(I141="","",I141/J141-1)</f>
        <v/>
      </c>
      <c r="L141" s="2" t="inlineStr">
        <is>
          <t>USD @ 88.00 assumed; invoiced at RBI rate on invoice date (FX risk); Validity only 15 days</t>
        </is>
      </c>
    </row>
    <row r="142">
      <c r="A142" s="2" t="n">
        <v>28</v>
      </c>
      <c r="B142" s="2" t="inlineStr">
        <is>
          <t>PT-102</t>
        </is>
      </c>
      <c r="C142" s="2" t="inlineStr">
        <is>
          <t>Gupta</t>
        </is>
      </c>
      <c r="D142" s="2" t="inlineStr">
        <is>
          <t>NOT QUOTED</t>
        </is>
      </c>
      <c r="E142" s="2" t="inlineStr"/>
      <c r="F142" s="2" t="inlineStr"/>
      <c r="G142" s="2" t="inlineStr"/>
      <c r="H142" s="2" t="inlineStr"/>
      <c r="I142" s="2" t="n"/>
      <c r="J142" s="2" t="n">
        <v>5.19</v>
      </c>
      <c r="K142" s="2" t="n"/>
      <c r="L142" s="2" t="inlineStr">
        <is>
          <t>Missing line – exclude from per-line award, don't treat as zero</t>
        </is>
      </c>
    </row>
    <row r="143">
      <c r="A143" s="2" t="n">
        <v>28</v>
      </c>
      <c r="B143" s="2" t="inlineStr">
        <is>
          <t>PT-102</t>
        </is>
      </c>
      <c r="C143" s="2" t="inlineStr">
        <is>
          <t>Om Sai</t>
        </is>
      </c>
      <c r="D143" s="2" t="inlineStr">
        <is>
          <t>same as last year</t>
        </is>
      </c>
      <c r="E143" s="2" t="inlineStr">
        <is>
          <t>per pc</t>
        </is>
      </c>
      <c r="F143" s="2" t="inlineStr">
        <is>
          <t>INR</t>
        </is>
      </c>
      <c r="G143" s="2" t="inlineStr">
        <is>
          <t>assumed excl</t>
        </is>
      </c>
      <c r="H143" s="2" t="inlineStr">
        <is>
          <t>extra (est ₹2/kg)</t>
        </is>
      </c>
      <c r="I143" s="2" t="n">
        <v>5.48</v>
      </c>
      <c r="J143" s="2" t="n">
        <v>5.19</v>
      </c>
      <c r="K143" s="3">
        <f>IF(I143="","",I143/J143-1)</f>
        <v/>
      </c>
      <c r="L143" s="2" t="inlineStr">
        <is>
          <t>resolved to last-year ₹5.19/pc; Freight extra: est. ₹2/kg; GST basis not stated – assumed exclusive</t>
        </is>
      </c>
    </row>
    <row r="144">
      <c r="A144" s="2" t="n">
        <v>29</v>
      </c>
      <c r="B144" s="2" t="inlineStr">
        <is>
          <t>PD-101</t>
        </is>
      </c>
      <c r="C144" s="2" t="inlineStr">
        <is>
          <t>Kraftline</t>
        </is>
      </c>
      <c r="D144" s="2" t="n">
        <v>2070</v>
      </c>
      <c r="E144" s="2" t="inlineStr">
        <is>
          <t>per 1000 pcs</t>
        </is>
      </c>
      <c r="F144" s="2" t="inlineStr">
        <is>
          <t>INR</t>
        </is>
      </c>
      <c r="G144" s="2" t="inlineStr">
        <is>
          <t>excl</t>
        </is>
      </c>
      <c r="H144" s="2" t="inlineStr">
        <is>
          <t>delivered</t>
        </is>
      </c>
      <c r="I144" s="2" t="n">
        <v>2.07</v>
      </c>
      <c r="J144" s="2" t="n">
        <v>2.13</v>
      </c>
      <c r="K144" s="3">
        <f>IF(I144="","",I144/J144-1)</f>
        <v/>
      </c>
      <c r="L144" s="2" t="inlineStr"/>
    </row>
    <row r="145">
      <c r="A145" s="2" t="n">
        <v>29</v>
      </c>
      <c r="B145" s="2" t="inlineStr">
        <is>
          <t>PD-101</t>
        </is>
      </c>
      <c r="C145" s="2" t="inlineStr">
        <is>
          <t>Shree Balaji</t>
        </is>
      </c>
      <c r="D145" s="2" t="n">
        <v>2.51</v>
      </c>
      <c r="E145" s="2" t="inlineStr">
        <is>
          <t>per pc</t>
        </is>
      </c>
      <c r="F145" s="2" t="inlineStr">
        <is>
          <t>INR</t>
        </is>
      </c>
      <c r="G145" s="2" t="inlineStr">
        <is>
          <t>incl 18%</t>
        </is>
      </c>
      <c r="H145" s="2" t="inlineStr">
        <is>
          <t>delivered</t>
        </is>
      </c>
      <c r="I145" s="2" t="n">
        <v>2.06</v>
      </c>
      <c r="J145" s="2" t="n">
        <v>2.13</v>
      </c>
      <c r="K145" s="3">
        <f>IF(I145="","",I145/J145-1)</f>
        <v/>
      </c>
      <c r="L145" s="2" t="inlineStr">
        <is>
          <t>GST-inclusive, stripped 18%; 3% discount applied – conditional on PO &gt; ₹10L</t>
        </is>
      </c>
    </row>
    <row r="146">
      <c r="A146" s="2" t="n">
        <v>29</v>
      </c>
      <c r="B146" s="2" t="inlineStr">
        <is>
          <t>PD-101</t>
        </is>
      </c>
      <c r="C146" s="2" t="inlineStr">
        <is>
          <t>Pacific</t>
        </is>
      </c>
      <c r="D146" s="2" t="n">
        <v>0.026</v>
      </c>
      <c r="E146" s="2" t="inlineStr">
        <is>
          <t>per pc</t>
        </is>
      </c>
      <c r="F146" s="2" t="inlineStr">
        <is>
          <t>USD</t>
        </is>
      </c>
      <c r="G146" s="2" t="inlineStr">
        <is>
          <t>excl</t>
        </is>
      </c>
      <c r="H146" s="2" t="inlineStr">
        <is>
          <t>delivered</t>
        </is>
      </c>
      <c r="I146" s="2" t="n">
        <v>2.29</v>
      </c>
      <c r="J146" s="2" t="n">
        <v>2.13</v>
      </c>
      <c r="K146" s="3">
        <f>IF(I146="","",I146/J146-1)</f>
        <v/>
      </c>
      <c r="L146" s="2" t="inlineStr">
        <is>
          <t>USD @ 88.00 assumed; invoiced at RBI rate on invoice date (FX risk); Validity only 15 days</t>
        </is>
      </c>
    </row>
    <row r="147">
      <c r="A147" s="2" t="n">
        <v>29</v>
      </c>
      <c r="B147" s="2" t="inlineStr">
        <is>
          <t>PD-101</t>
        </is>
      </c>
      <c r="C147" s="2" t="inlineStr">
        <is>
          <t>Gupta</t>
        </is>
      </c>
      <c r="D147" s="2" t="n">
        <v>185</v>
      </c>
      <c r="E147" s="2" t="inlineStr">
        <is>
          <t>per 100 pcs</t>
        </is>
      </c>
      <c r="F147" s="2" t="inlineStr">
        <is>
          <t>INR</t>
        </is>
      </c>
      <c r="G147" s="2" t="inlineStr">
        <is>
          <t>excl</t>
        </is>
      </c>
      <c r="H147" s="2" t="inlineStr">
        <is>
          <t>ex-works</t>
        </is>
      </c>
      <c r="I147" s="2" t="n">
        <v>1.97</v>
      </c>
      <c r="J147" s="2" t="n">
        <v>2.13</v>
      </c>
      <c r="K147" s="3">
        <f>IF(I147="","",I147/J147-1)</f>
        <v/>
      </c>
      <c r="L147" s="2" t="inlineStr">
        <is>
          <t>Matched to inch size 16 x 12 (1.6% max dimension deviation); Paper grade not stated; Ex-works: freight est. ₹2/kg</t>
        </is>
      </c>
    </row>
    <row r="148">
      <c r="A148" s="2" t="n">
        <v>29</v>
      </c>
      <c r="B148" s="2" t="inlineStr">
        <is>
          <t>PD-101</t>
        </is>
      </c>
      <c r="C148" s="2" t="inlineStr">
        <is>
          <t>Om Sai</t>
        </is>
      </c>
      <c r="D148" s="2" t="inlineStr">
        <is>
          <t>same as last year</t>
        </is>
      </c>
      <c r="E148" s="2" t="inlineStr">
        <is>
          <t>per pc</t>
        </is>
      </c>
      <c r="F148" s="2" t="inlineStr">
        <is>
          <t>INR</t>
        </is>
      </c>
      <c r="G148" s="2" t="inlineStr">
        <is>
          <t>assumed excl</t>
        </is>
      </c>
      <c r="H148" s="2" t="inlineStr">
        <is>
          <t>extra (est ₹2/kg)</t>
        </is>
      </c>
      <c r="I148" s="2" t="n">
        <v>2.25</v>
      </c>
      <c r="J148" s="2" t="n">
        <v>2.13</v>
      </c>
      <c r="K148" s="3">
        <f>IF(I148="","",I148/J148-1)</f>
        <v/>
      </c>
      <c r="L148" s="2" t="inlineStr">
        <is>
          <t>resolved to last-year ₹2.13/pc; Freight extra: est. ₹2/kg; GST basis not stated – assumed exclusive</t>
        </is>
      </c>
    </row>
    <row r="149">
      <c r="A149" s="2" t="n">
        <v>30</v>
      </c>
      <c r="B149" s="2" t="inlineStr">
        <is>
          <t>PD-102</t>
        </is>
      </c>
      <c r="C149" s="2" t="inlineStr">
        <is>
          <t>Kraftline</t>
        </is>
      </c>
      <c r="D149" s="2" t="n">
        <v>8110</v>
      </c>
      <c r="E149" s="2" t="inlineStr">
        <is>
          <t>per 1000 pcs</t>
        </is>
      </c>
      <c r="F149" s="2" t="inlineStr">
        <is>
          <t>INR</t>
        </is>
      </c>
      <c r="G149" s="2" t="inlineStr">
        <is>
          <t>excl</t>
        </is>
      </c>
      <c r="H149" s="2" t="inlineStr">
        <is>
          <t>delivered</t>
        </is>
      </c>
      <c r="I149" s="2" t="n">
        <v>8.109999999999999</v>
      </c>
      <c r="J149" s="2" t="n">
        <v>8.27</v>
      </c>
      <c r="K149" s="3">
        <f>IF(I149="","",I149/J149-1)</f>
        <v/>
      </c>
      <c r="L149" s="2" t="inlineStr"/>
    </row>
    <row r="150">
      <c r="A150" s="2" t="n">
        <v>30</v>
      </c>
      <c r="B150" s="2" t="inlineStr">
        <is>
          <t>PD-102</t>
        </is>
      </c>
      <c r="C150" s="2" t="inlineStr">
        <is>
          <t>Shree Balaji</t>
        </is>
      </c>
      <c r="D150" s="2" t="n">
        <v>9.529999999999999</v>
      </c>
      <c r="E150" s="2" t="inlineStr">
        <is>
          <t>per pc</t>
        </is>
      </c>
      <c r="F150" s="2" t="inlineStr">
        <is>
          <t>INR</t>
        </is>
      </c>
      <c r="G150" s="2" t="inlineStr">
        <is>
          <t>incl 18%</t>
        </is>
      </c>
      <c r="H150" s="2" t="inlineStr">
        <is>
          <t>delivered</t>
        </is>
      </c>
      <c r="I150" s="2" t="n">
        <v>7.83</v>
      </c>
      <c r="J150" s="2" t="n">
        <v>8.27</v>
      </c>
      <c r="K150" s="3">
        <f>IF(I150="","",I150/J150-1)</f>
        <v/>
      </c>
      <c r="L150" s="2" t="inlineStr">
        <is>
          <t>GST-inclusive, stripped 18%; 3% discount applied – conditional on PO &gt; ₹10L</t>
        </is>
      </c>
    </row>
    <row r="151">
      <c r="A151" s="2" t="n">
        <v>30</v>
      </c>
      <c r="B151" s="2" t="inlineStr">
        <is>
          <t>PD-102</t>
        </is>
      </c>
      <c r="C151" s="2" t="inlineStr">
        <is>
          <t>Pacific</t>
        </is>
      </c>
      <c r="D151" s="2" t="n">
        <v>0.101</v>
      </c>
      <c r="E151" s="2" t="inlineStr">
        <is>
          <t>per pc</t>
        </is>
      </c>
      <c r="F151" s="2" t="inlineStr">
        <is>
          <t>USD</t>
        </is>
      </c>
      <c r="G151" s="2" t="inlineStr">
        <is>
          <t>excl</t>
        </is>
      </c>
      <c r="H151" s="2" t="inlineStr">
        <is>
          <t>delivered</t>
        </is>
      </c>
      <c r="I151" s="2" t="n">
        <v>8.890000000000001</v>
      </c>
      <c r="J151" s="2" t="n">
        <v>8.27</v>
      </c>
      <c r="K151" s="3">
        <f>IF(I151="","",I151/J151-1)</f>
        <v/>
      </c>
      <c r="L151" s="2" t="inlineStr">
        <is>
          <t>USD @ 88.00 assumed; invoiced at RBI rate on invoice date (FX risk); Validity only 15 days</t>
        </is>
      </c>
    </row>
    <row r="152">
      <c r="A152" s="2" t="n">
        <v>30</v>
      </c>
      <c r="B152" s="2" t="inlineStr">
        <is>
          <t>PD-102</t>
        </is>
      </c>
      <c r="C152" s="2" t="inlineStr">
        <is>
          <t>Gupta</t>
        </is>
      </c>
      <c r="D152" s="2" t="inlineStr">
        <is>
          <t>NOT QUOTED</t>
        </is>
      </c>
      <c r="E152" s="2" t="inlineStr"/>
      <c r="F152" s="2" t="inlineStr"/>
      <c r="G152" s="2" t="inlineStr"/>
      <c r="H152" s="2" t="inlineStr"/>
      <c r="I152" s="2" t="n"/>
      <c r="J152" s="2" t="n">
        <v>8.27</v>
      </c>
      <c r="K152" s="2" t="n"/>
      <c r="L152" s="2" t="inlineStr">
        <is>
          <t>Missing line – exclude from per-line award, don't treat as zero</t>
        </is>
      </c>
    </row>
    <row r="153">
      <c r="A153" s="2" t="n">
        <v>30</v>
      </c>
      <c r="B153" s="2" t="inlineStr">
        <is>
          <t>PD-102</t>
        </is>
      </c>
      <c r="C153" s="2" t="inlineStr">
        <is>
          <t>Om Sai</t>
        </is>
      </c>
      <c r="D153" s="2" t="inlineStr">
        <is>
          <t>same as last year</t>
        </is>
      </c>
      <c r="E153" s="2" t="inlineStr">
        <is>
          <t>per pc</t>
        </is>
      </c>
      <c r="F153" s="2" t="inlineStr">
        <is>
          <t>INR</t>
        </is>
      </c>
      <c r="G153" s="2" t="inlineStr">
        <is>
          <t>assumed excl</t>
        </is>
      </c>
      <c r="H153" s="2" t="inlineStr">
        <is>
          <t>extra (est ₹2/kg)</t>
        </is>
      </c>
      <c r="I153" s="2" t="n">
        <v>8.68</v>
      </c>
      <c r="J153" s="2" t="n">
        <v>8.27</v>
      </c>
      <c r="K153" s="3">
        <f>IF(I153="","",I153/J153-1)</f>
        <v/>
      </c>
      <c r="L153" s="2" t="inlineStr">
        <is>
          <t>resolved to last-year ₹8.27/pc; Freight extra: est. ₹2/kg; GST basis not stated – assumed exclusive</t>
        </is>
      </c>
    </row>
  </sheetData>
  <autoFilter ref="A1:L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60" customWidth="1" min="3" max="3"/>
  </cols>
  <sheetData>
    <row r="1">
      <c r="A1" s="1" t="inlineStr">
        <is>
          <t>Vendor</t>
        </is>
      </c>
      <c r="B1" s="1" t="inlineStr">
        <is>
          <t>Quality gate</t>
        </is>
      </c>
      <c r="C1" s="1" t="inlineStr">
        <is>
          <t>Why</t>
        </is>
      </c>
    </row>
    <row r="2">
      <c r="A2" s="2" t="inlineStr">
        <is>
          <t>Kraftline</t>
        </is>
      </c>
      <c r="B2" s="2" t="inlineStr">
        <is>
          <t>Cleared (deviation: 45-day payment)</t>
        </is>
      </c>
      <c r="C2" s="2" t="inlineStr">
        <is>
          <t>All mandatory answers pass; cert QMS/IN/22841 valid to Mar-2028</t>
        </is>
      </c>
    </row>
    <row r="3">
      <c r="A3" s="2" t="inlineStr">
        <is>
          <t>Shree Balaji</t>
        </is>
      </c>
      <c r="B3" s="2" t="inlineStr">
        <is>
          <t>Conditional: ISO cert expired 15-Sep-2026</t>
        </is>
      </c>
      <c r="C3" s="2" t="inlineStr">
        <is>
          <t>Claims ISO; attached certificate expired before RFQ due date</t>
        </is>
      </c>
    </row>
    <row r="4">
      <c r="A4" s="2" t="inlineStr">
        <is>
          <t>Pacific</t>
        </is>
      </c>
      <c r="B4" s="2" t="inlineStr">
        <is>
          <t>Failed: lead time 14–21 days, no certificate</t>
        </is>
      </c>
      <c r="C4" s="2" t="inlineStr">
        <is>
          <t>Lead time fails ≤10 days; vague answers, no certificate</t>
        </is>
      </c>
    </row>
    <row r="5">
      <c r="A5" s="2" t="inlineStr">
        <is>
          <t>Gupta</t>
        </is>
      </c>
      <c r="B5" s="2" t="inlineStr">
        <is>
          <t>Unknown: no questionnaire</t>
        </is>
      </c>
      <c r="C5" s="2" t="inlineStr">
        <is>
          <t>Rate card only, questionnaire not returned</t>
        </is>
      </c>
    </row>
    <row r="6">
      <c r="A6" s="2" t="inlineStr">
        <is>
          <t>Om Sai</t>
        </is>
      </c>
      <c r="B6" s="2" t="inlineStr">
        <is>
          <t>Cleared on 2025 answers (stale, needs reconfirmation)</t>
        </is>
      </c>
      <c r="C6" s="2" t="inlineStr">
        <is>
          <t>Says 'same as last yr'; 2025 answers on file pass, but 12 months 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16" customWidth="1" min="3" max="3"/>
    <col width="18" customWidth="1" min="4" max="4"/>
    <col width="44" customWidth="1" min="5" max="5"/>
  </cols>
  <sheetData>
    <row r="1">
      <c r="A1" s="1" t="inlineStr">
        <is>
          <t>Scenario</t>
        </is>
      </c>
      <c r="B1" s="1" t="inlineStr">
        <is>
          <t>Vendors allowed</t>
        </is>
      </c>
      <c r="C1" s="1" t="inlineStr">
        <is>
          <t>Annual cost (₹ lakh)</t>
        </is>
      </c>
      <c r="D1" s="1" t="inlineStr">
        <is>
          <t>Saving vs last year (₹ lakh)</t>
        </is>
      </c>
      <c r="E1" s="1" t="inlineStr">
        <is>
          <t>Lines won</t>
        </is>
      </c>
    </row>
    <row r="2">
      <c r="A2" s="2" t="inlineStr">
        <is>
          <t>A. Strict: only clean/cleared vendors</t>
        </is>
      </c>
      <c r="B2" s="2" t="inlineStr">
        <is>
          <t>Kraftline, Om Sai</t>
        </is>
      </c>
      <c r="C2" s="2" t="n">
        <v>407.8</v>
      </c>
      <c r="D2" s="2" t="n">
        <v>3.3</v>
      </c>
      <c r="E2" s="2" t="inlineStr">
        <is>
          <t>Kraftline 26, Om Sai 4</t>
        </is>
      </c>
    </row>
    <row r="3">
      <c r="A3" s="2" t="inlineStr">
        <is>
          <t>B. Include Balaji if cert renewed</t>
        </is>
      </c>
      <c r="B3" s="2" t="inlineStr">
        <is>
          <t>Kraftline, Om Sai, Shree Balaji</t>
        </is>
      </c>
      <c r="C3" s="2" t="n">
        <v>394.9</v>
      </c>
      <c r="D3" s="2" t="n">
        <v>16.1</v>
      </c>
      <c r="E3" s="2" t="inlineStr">
        <is>
          <t>Shree Balaji 19, Kraftline 10, Om Sai 1</t>
        </is>
      </c>
    </row>
    <row r="4">
      <c r="A4" s="2" t="inlineStr">
        <is>
          <t>C. Ignore quality (not recommended)</t>
        </is>
      </c>
      <c r="B4" s="2" t="inlineStr">
        <is>
          <t>Kraftline, Shree Balaji, Pacific, Gupta, Om Sai</t>
        </is>
      </c>
      <c r="C4" s="2" t="n">
        <v>387.2</v>
      </c>
      <c r="D4" s="2" t="n">
        <v>23.9</v>
      </c>
      <c r="E4" s="2" t="inlineStr">
        <is>
          <t>Shree Balaji 11, Gupta 8, Kraftline 7, Pacific 4</t>
        </is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Last year spend (₹ lakh)</t>
        </is>
      </c>
      <c r="B6" s="2" t="inlineStr"/>
      <c r="C6" s="2" t="n">
        <v>411.1</v>
      </c>
      <c r="D6" s="2" t="n"/>
      <c r="E6" s="2" t="n"/>
    </row>
    <row r="7">
      <c r="A7" s="2" t="inlineStr">
        <is>
          <t>Note</t>
        </is>
      </c>
      <c r="B7" s="2" t="inlineStr">
        <is>
          <t>Normalized prices computed in Python from the quoted figures; Kraftline alternates excluded from scenarios (not like-for-like).</t>
        </is>
      </c>
      <c r="C7" s="2" t="n"/>
      <c r="D7" s="2" t="n"/>
      <c r="E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2026-10-06T13:20:13Z</dcterms:created>
  <dcterms:modified xmlns:dcterms="http://purl.org/dc/terms/" xmlns:xsi="http://www.w3.org/2001/XMLSchema-instance" xsi:type="dcterms:W3CDTF">2026-10-06T13:20:13Z</dcterms:modified>
</cp:coreProperties>
</file>