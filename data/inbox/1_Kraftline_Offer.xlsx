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ation" sheetId="1" state="visible" r:id="rId3"/>
    <sheet name="T&amp;C + Complia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<sst xmlns="http://schemas.openxmlformats.org/spreadsheetml/2006/main" count="112" uniqueCount="111">
  <si>
    <t xml:space="preserve">KRAFTLINE PACKAGING PVT. LTD.</t>
  </si>
  <si>
    <t xml:space="preserve">Plot 214, Sector 8, IMT Manesar, Gurugram 122051  |  sales@kraftline-pkg.example  |  +91 124 400 2140</t>
  </si>
  <si>
    <t xml:space="preserve">COMMERCIAL OFFER – CORRUGATED BOXES</t>
  </si>
  <si>
    <t xml:space="preserve">Offer No:</t>
  </si>
  <si>
    <t xml:space="preserve">KPPL/Q/26-27/0918</t>
  </si>
  <si>
    <t xml:space="preserve">Kind Attn: Procurement – Packaging, Bawal Plant</t>
  </si>
  <si>
    <t xml:space="preserve">Date:</t>
  </si>
  <si>
    <t xml:space="preserve">29-Sep-2026</t>
  </si>
  <si>
    <t xml:space="preserve">Ref: Your RFQ dated 21-Sep-2026</t>
  </si>
  <si>
    <t xml:space="preserve">Our Code</t>
  </si>
  <si>
    <t xml:space="preserve">Product Description</t>
  </si>
  <si>
    <t xml:space="preserve">Ply</t>
  </si>
  <si>
    <t xml:space="preserve">Annual Qty (Nos)</t>
  </si>
  <si>
    <t xml:space="preserve">Rate (₹ / 1000 Nos)</t>
  </si>
  <si>
    <t xml:space="preserve">Value (₹ Lakh)</t>
  </si>
  <si>
    <t xml:space="preserve">Remarks</t>
  </si>
  <si>
    <t xml:space="preserve">5 PLY RANGE</t>
  </si>
  <si>
    <t xml:space="preserve">KP-5001</t>
  </si>
  <si>
    <t xml:space="preserve">RSC 5 Ply 330x250x290 mm | 180/150/150/120/120 GSM 20BF | 1 Col</t>
  </si>
  <si>
    <t xml:space="preserve">KP-5002</t>
  </si>
  <si>
    <t xml:space="preserve">RSC 5 Ply 380x340x320 mm | 180/150/150/120/120 GSM 20BF | 1 Col</t>
  </si>
  <si>
    <t xml:space="preserve">KP-5003</t>
  </si>
  <si>
    <t xml:space="preserve">RSC 5 Ply 360x270x200 mm | 180/150/150/120/120 GSM 20BF | 2 Col</t>
  </si>
  <si>
    <t xml:space="preserve">KP-5004</t>
  </si>
  <si>
    <t xml:space="preserve">RSC 5 Ply 400x300x180 mm | 180/150/150/120/120 GSM 20BF | 1 Col</t>
  </si>
  <si>
    <t xml:space="preserve">KP-5005A</t>
  </si>
  <si>
    <t xml:space="preserve">RSC 5 Ply 400x300x180 mm | 150/100/150/100/150 GSM 18BF | 1 Col</t>
  </si>
  <si>
    <t xml:space="preserve">ALTERNATE – value engineered, same BCT achievable, saves ~14%</t>
  </si>
  <si>
    <t xml:space="preserve">KP-5006</t>
  </si>
  <si>
    <t xml:space="preserve">RSC 5 Ply 420x280x230 mm | 180/150/150/120/120 GSM 20BF | 1 Col</t>
  </si>
  <si>
    <t xml:space="preserve">KP-5007</t>
  </si>
  <si>
    <t xml:space="preserve">RSC 5 Ply 400x260x210 mm | 180/150/150/120/120 GSM 20BF | 1 Col</t>
  </si>
  <si>
    <t xml:space="preserve">KP-5008A</t>
  </si>
  <si>
    <t xml:space="preserve">RSC 5 Ply 400x260x210 mm | 150/100/150/100/150 GSM 18BF | 1 Col</t>
  </si>
  <si>
    <t xml:space="preserve">KP-5009</t>
  </si>
  <si>
    <t xml:space="preserve">RSC 5 Ply 460x360x300 mm | 180/150/150/120/120 GSM 20BF | 1 Col</t>
  </si>
  <si>
    <t xml:space="preserve">KP-5010</t>
  </si>
  <si>
    <t xml:space="preserve">RSC 5 Ply 500x380x320 mm | 180/150/150/120/120 GSM 20BF | 1 Col</t>
  </si>
  <si>
    <t xml:space="preserve">KP-5011</t>
  </si>
  <si>
    <t xml:space="preserve">RSC 5 Ply 600x400x350 mm | 180/150/150/120/120 GSM 20BF | 1 Col</t>
  </si>
  <si>
    <t xml:space="preserve">KP-5012</t>
  </si>
  <si>
    <t xml:space="preserve">RSC 5 Ply 600x400x400 mm | 180/150/150/120/120 GSM 20BF | 2 Col</t>
  </si>
  <si>
    <t xml:space="preserve">KP-5013</t>
  </si>
  <si>
    <t xml:space="preserve">RSC 5 Ply 450x350x150 mm | 180/150/150/120/120 GSM 20BF | 4 Col</t>
  </si>
  <si>
    <t xml:space="preserve">KP-5014</t>
  </si>
  <si>
    <t xml:space="preserve">Tray 5 Ply 1200x1000x100 mm | 180/150/150/120/120 GSM 20BF | Plain</t>
  </si>
  <si>
    <t xml:space="preserve">KP-5015</t>
  </si>
  <si>
    <t xml:space="preserve">Pad 5 Ply 600x400 mm | 180/150/150/120/120 GSM 20BF | Plain</t>
  </si>
  <si>
    <t xml:space="preserve">3 PLY RANGE</t>
  </si>
  <si>
    <t xml:space="preserve">KP-3016</t>
  </si>
  <si>
    <t xml:space="preserve">RSC 3 Ply 400x300x200 mm | 150/150/120 GSM 18BF | 1 Col</t>
  </si>
  <si>
    <t xml:space="preserve">KP-3017</t>
  </si>
  <si>
    <t xml:space="preserve">RSC 3 Ply 360x250x180 mm | 150/150/120 GSM 18BF | 1 Col</t>
  </si>
  <si>
    <t xml:space="preserve">KP-3018</t>
  </si>
  <si>
    <t xml:space="preserve">RSC 3 Ply 420x320x220 mm | 150/150/120 GSM 18BF | 1 Col</t>
  </si>
  <si>
    <t xml:space="preserve">KP-3019</t>
  </si>
  <si>
    <t xml:space="preserve">RSC 3 Ply 450x300x300 mm | 150/150/120 GSM 18BF | 1 Col</t>
  </si>
  <si>
    <t xml:space="preserve">KP-3020</t>
  </si>
  <si>
    <t xml:space="preserve">RSC 3 Ply 500x350x320 mm | 150/150/120 GSM 18BF | 2 Col</t>
  </si>
  <si>
    <t xml:space="preserve">KP-3021</t>
  </si>
  <si>
    <t xml:space="preserve">RSC 3 Ply 550x400x350 mm | 150/150/120 GSM 18BF | 1 Col</t>
  </si>
  <si>
    <t xml:space="preserve">KP-3022</t>
  </si>
  <si>
    <t xml:space="preserve">RSC 3 Ply 250x200x150 mm | 150/150/120 GSM 18BF | 2 Col</t>
  </si>
  <si>
    <t xml:space="preserve">KP-3023</t>
  </si>
  <si>
    <t xml:space="preserve">RSC 3 Ply 300x220x100 mm | 150/150/120 GSM 18BF | 2 Col</t>
  </si>
  <si>
    <t xml:space="preserve">KP-3024</t>
  </si>
  <si>
    <t xml:space="preserve">RSC 3 Ply 380x280x140 mm | 150/150/120 GSM 18BF | 2 Col</t>
  </si>
  <si>
    <t xml:space="preserve">KP-3025</t>
  </si>
  <si>
    <t xml:space="preserve">RSC 3 Ply 350x250x250 mm | 150/150/120 GSM 18BF | Plain</t>
  </si>
  <si>
    <t xml:space="preserve">KP-3026</t>
  </si>
  <si>
    <t xml:space="preserve">Die-cut 3 Ply 300x200x60 mm | 150/150/120 GSM 18BF | 2 Col</t>
  </si>
  <si>
    <t xml:space="preserve">KP-3027</t>
  </si>
  <si>
    <t xml:space="preserve">Pad 3 Ply 400x300 mm | 150/150/120 GSM 18BF | Plain</t>
  </si>
  <si>
    <t xml:space="preserve">KP-3028</t>
  </si>
  <si>
    <t xml:space="preserve">Partition 3 Ply 330x250x280 mm | 150/150/120 GSM 18BF | Plain</t>
  </si>
  <si>
    <t xml:space="preserve">KP-3029</t>
  </si>
  <si>
    <t xml:space="preserve">Partition 3 Ply 420x280x220 mm | 150/150/120 GSM 18BF | Plain</t>
  </si>
  <si>
    <t xml:space="preserve">Rates are FOR your Bawal plant. GST @18% extra as applicable.</t>
  </si>
  <si>
    <t xml:space="preserve">Alternate specs offered for your consideration – please confirm before PO.</t>
  </si>
  <si>
    <t xml:space="preserve">TERMS &amp; CONDITIONS</t>
  </si>
  <si>
    <t xml:space="preserve">Price basis</t>
  </si>
  <si>
    <t xml:space="preserve">FOR Bawal, freight included</t>
  </si>
  <si>
    <t xml:space="preserve">Taxes</t>
  </si>
  <si>
    <t xml:space="preserve">GST @18% extra</t>
  </si>
  <si>
    <t xml:space="preserve">Payment</t>
  </si>
  <si>
    <t xml:space="preserve">45 days from invoice (we are unable to accept 60 days)</t>
  </si>
  <si>
    <t xml:space="preserve">Validity</t>
  </si>
  <si>
    <t xml:space="preserve">90 days from offer date</t>
  </si>
  <si>
    <t xml:space="preserve">Delivery</t>
  </si>
  <si>
    <t xml:space="preserve">7 working days from PO, staggered as per schedule</t>
  </si>
  <si>
    <t xml:space="preserve">Price revision</t>
  </si>
  <si>
    <t xml:space="preserve">Quarterly, linked to kraft paper index (+/- 5% band)</t>
  </si>
  <si>
    <t xml:space="preserve">SUPPLIER QUESTIONNAIRE</t>
  </si>
  <si>
    <t xml:space="preserve">Q1 ISO 9001:2015 certified?</t>
  </si>
  <si>
    <t xml:space="preserve">Yes – Cert No. QMS/IN/22841, valid till 14-Mar-2028</t>
  </si>
  <si>
    <t xml:space="preserve">Q2 BS / ECT test report per lot?</t>
  </si>
  <si>
    <t xml:space="preserve">Yes, with every dispatch</t>
  </si>
  <si>
    <t xml:space="preserve">Q3 Monthly capacity</t>
  </si>
  <si>
    <t xml:space="preserve">1,200 MT/month (3 corrugation lines)</t>
  </si>
  <si>
    <t xml:space="preserve">Q4 Lead time from PO</t>
  </si>
  <si>
    <t xml:space="preserve">7 days</t>
  </si>
  <si>
    <t xml:space="preserve">Q5 Food-safe, low-migration inks?</t>
  </si>
  <si>
    <t xml:space="preserve">Yes – water based inks, declaration attached on request</t>
  </si>
  <si>
    <t xml:space="preserve">Q6 Accept 60-day payment?</t>
  </si>
  <si>
    <t xml:space="preserve">No – 45 days</t>
  </si>
  <si>
    <t xml:space="preserve">Q7 Price validity</t>
  </si>
  <si>
    <t xml:space="preserve">90 days</t>
  </si>
  <si>
    <t xml:space="preserve">Q8 RM escalation mechanism</t>
  </si>
  <si>
    <t xml:space="preserve">Quarterly, kraft paper index linked</t>
  </si>
  <si>
    <t xml:space="preserve">Q9 Rejection rate (12 months)</t>
  </si>
  <si>
    <t xml:space="preserve">0.4%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</si>
</sst>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1"/>
      <color rgb="FF1F4E9A"/>
      <name val="Calibri"/>
      <family val="0"/>
      <charset val="1"/>
    </font>
    <font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A1F1F"/>
        <bgColor rgb="FF800000"/>
      </patternFill>
    </fill>
    <fill>
      <patternFill patternType="solid">
        <fgColor rgb="FF404040"/>
        <bgColor rgb="FF333300"/>
      </patternFill>
    </fill>
    <fill>
      <patternFill patternType="solid">
        <fgColor rgb="FFE8D9C5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D9C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1F1F"/>
      <rgbColor rgb="FF993366"/>
      <rgbColor rgb="FF1F4E9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2"/>
    <col collapsed="false" customWidth="true" hidden="false" outlineLevel="0" max="3" min="3" style="0" width="5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44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3"/>
      <c r="E4" s="4" t="s">
        <v>3</v>
      </c>
      <c r="F4" s="4" t="s">
        <v>4</v>
      </c>
    </row>
    <row r="5" customFormat="false" ht="15" hidden="false" customHeight="false" outlineLevel="0" collapsed="false">
      <c r="A5" s="0" t="s">
        <v>5</v>
      </c>
      <c r="E5" s="0" t="s">
        <v>6</v>
      </c>
      <c r="F5" s="0" t="s">
        <v>7</v>
      </c>
    </row>
    <row r="6" customFormat="false" ht="15" hidden="false" customHeight="false" outlineLevel="0" collapsed="false">
      <c r="A6" s="0" t="s">
        <v>8</v>
      </c>
    </row>
    <row r="8" customFormat="false" ht="28.35" hidden="false" customHeight="false" outlineLevel="0" collapsed="false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</row>
    <row r="9" customFormat="false" ht="15" hidden="false" customHeight="false" outlineLevel="0" collapsed="false">
      <c r="A9" s="6" t="s">
        <v>16</v>
      </c>
      <c r="B9" s="6"/>
      <c r="C9" s="6"/>
      <c r="D9" s="6"/>
      <c r="E9" s="6"/>
      <c r="F9" s="6"/>
      <c r="G9" s="6"/>
    </row>
    <row r="10" customFormat="false" ht="15" hidden="false" customHeight="false" outlineLevel="0" collapsed="false">
      <c r="A10" s="0" t="s">
        <v>17</v>
      </c>
      <c r="B10" s="0" t="s">
        <v>18</v>
      </c>
      <c r="C10" s="0" t="n">
        <v>5</v>
      </c>
      <c r="D10" s="7" t="n">
        <v>140000</v>
      </c>
      <c r="E10" s="7" t="n">
        <v>22060</v>
      </c>
      <c r="F10" s="8" t="n">
        <f aca="false">D10*E10/1000/100000</f>
        <v>30.884</v>
      </c>
    </row>
    <row r="11" customFormat="false" ht="15" hidden="false" customHeight="false" outlineLevel="0" collapsed="false">
      <c r="A11" s="0" t="s">
        <v>19</v>
      </c>
      <c r="B11" s="0" t="s">
        <v>20</v>
      </c>
      <c r="C11" s="0" t="n">
        <v>5</v>
      </c>
      <c r="D11" s="7" t="n">
        <v>60000</v>
      </c>
      <c r="E11" s="7" t="n">
        <v>32915</v>
      </c>
      <c r="F11" s="8" t="n">
        <f aca="false">D11*E11/1000/100000</f>
        <v>19.749</v>
      </c>
    </row>
    <row r="12" customFormat="false" ht="15" hidden="false" customHeight="false" outlineLevel="0" collapsed="false">
      <c r="A12" s="0" t="s">
        <v>21</v>
      </c>
      <c r="B12" s="0" t="s">
        <v>22</v>
      </c>
      <c r="C12" s="0" t="n">
        <v>5</v>
      </c>
      <c r="D12" s="7" t="n">
        <v>50000</v>
      </c>
      <c r="E12" s="7" t="n">
        <v>21750</v>
      </c>
      <c r="F12" s="8" t="n">
        <f aca="false">D12*E12/1000/100000</f>
        <v>10.875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5</v>
      </c>
      <c r="D13" s="7" t="n">
        <v>45000</v>
      </c>
      <c r="E13" s="7" t="n">
        <v>24470</v>
      </c>
      <c r="F13" s="8" t="n">
        <f aca="false">D13*E13/1000/100000</f>
        <v>11.0115</v>
      </c>
    </row>
    <row r="14" customFormat="false" ht="15" hidden="false" customHeight="false" outlineLevel="0" collapsed="false">
      <c r="A14" s="9" t="s">
        <v>25</v>
      </c>
      <c r="B14" s="9" t="s">
        <v>26</v>
      </c>
      <c r="C14" s="9" t="n">
        <v>5</v>
      </c>
      <c r="D14" s="10" t="n">
        <v>45000</v>
      </c>
      <c r="E14" s="10" t="n">
        <v>21345</v>
      </c>
      <c r="F14" s="11" t="n">
        <f aca="false">D14*E14/1000/100000</f>
        <v>9.60525</v>
      </c>
      <c r="G14" s="9" t="s">
        <v>27</v>
      </c>
    </row>
    <row r="15" customFormat="false" ht="15" hidden="false" customHeight="false" outlineLevel="0" collapsed="false">
      <c r="A15" s="0" t="s">
        <v>28</v>
      </c>
      <c r="B15" s="0" t="s">
        <v>29</v>
      </c>
      <c r="C15" s="0" t="n">
        <v>5</v>
      </c>
      <c r="D15" s="7" t="n">
        <v>70000</v>
      </c>
      <c r="E15" s="7" t="n">
        <v>25030</v>
      </c>
      <c r="F15" s="8" t="n">
        <f aca="false">D15*E15/1000/100000</f>
        <v>17.521</v>
      </c>
    </row>
    <row r="16" customFormat="false" ht="15" hidden="false" customHeight="false" outlineLevel="0" collapsed="false">
      <c r="A16" s="0" t="s">
        <v>30</v>
      </c>
      <c r="B16" s="0" t="s">
        <v>31</v>
      </c>
      <c r="C16" s="0" t="n">
        <v>5</v>
      </c>
      <c r="D16" s="7" t="n">
        <v>110000</v>
      </c>
      <c r="E16" s="7" t="n">
        <v>22000</v>
      </c>
      <c r="F16" s="8" t="n">
        <f aca="false">D16*E16/1000/100000</f>
        <v>24.2</v>
      </c>
    </row>
    <row r="17" customFormat="false" ht="15" hidden="false" customHeight="false" outlineLevel="0" collapsed="false">
      <c r="A17" s="9" t="s">
        <v>32</v>
      </c>
      <c r="B17" s="9" t="s">
        <v>33</v>
      </c>
      <c r="C17" s="9" t="n">
        <v>5</v>
      </c>
      <c r="D17" s="10" t="n">
        <v>110000</v>
      </c>
      <c r="E17" s="10" t="n">
        <v>19780</v>
      </c>
      <c r="F17" s="11" t="n">
        <f aca="false">D17*E17/1000/100000</f>
        <v>21.758</v>
      </c>
      <c r="G17" s="9" t="s">
        <v>27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0" t="n">
        <v>5</v>
      </c>
      <c r="D18" s="7" t="n">
        <v>65000</v>
      </c>
      <c r="E18" s="7" t="n">
        <v>38325</v>
      </c>
      <c r="F18" s="8" t="n">
        <f aca="false">D18*E18/1000/100000</f>
        <v>24.91125</v>
      </c>
    </row>
    <row r="19" customFormat="false" ht="15" hidden="false" customHeight="false" outlineLevel="0" collapsed="false">
      <c r="A19" s="0" t="s">
        <v>36</v>
      </c>
      <c r="B19" s="0" t="s">
        <v>37</v>
      </c>
      <c r="C19" s="0" t="n">
        <v>5</v>
      </c>
      <c r="D19" s="7" t="n">
        <v>40000</v>
      </c>
      <c r="E19" s="7" t="n">
        <v>44130</v>
      </c>
      <c r="F19" s="8" t="n">
        <f aca="false">D19*E19/1000/100000</f>
        <v>17.652</v>
      </c>
    </row>
    <row r="20" customFormat="false" ht="15" hidden="false" customHeight="false" outlineLevel="0" collapsed="false">
      <c r="A20" s="0" t="s">
        <v>38</v>
      </c>
      <c r="B20" s="0" t="s">
        <v>39</v>
      </c>
      <c r="C20" s="0" t="n">
        <v>5</v>
      </c>
      <c r="D20" s="7" t="n">
        <v>25000</v>
      </c>
      <c r="E20" s="7" t="n">
        <v>52455</v>
      </c>
      <c r="F20" s="8" t="n">
        <f aca="false">D20*E20/1000/100000</f>
        <v>13.11375</v>
      </c>
    </row>
    <row r="21" customFormat="false" ht="15" hidden="false" customHeight="false" outlineLevel="0" collapsed="false">
      <c r="A21" s="0" t="s">
        <v>40</v>
      </c>
      <c r="B21" s="0" t="s">
        <v>41</v>
      </c>
      <c r="C21" s="0" t="n">
        <v>5</v>
      </c>
      <c r="D21" s="7" t="n">
        <v>30000</v>
      </c>
      <c r="E21" s="7" t="n">
        <v>55855</v>
      </c>
      <c r="F21" s="8" t="n">
        <f aca="false">D21*E21/1000/100000</f>
        <v>16.7565</v>
      </c>
    </row>
    <row r="22" customFormat="false" ht="15" hidden="false" customHeight="false" outlineLevel="0" collapsed="false">
      <c r="A22" s="0" t="s">
        <v>42</v>
      </c>
      <c r="B22" s="0" t="s">
        <v>43</v>
      </c>
      <c r="C22" s="0" t="n">
        <v>5</v>
      </c>
      <c r="D22" s="7" t="n">
        <v>15000</v>
      </c>
      <c r="E22" s="7" t="n">
        <v>30905</v>
      </c>
      <c r="F22" s="8" t="n">
        <f aca="false">D22*E22/1000/100000</f>
        <v>4.63575</v>
      </c>
    </row>
    <row r="23" customFormat="false" ht="15" hidden="false" customHeight="false" outlineLevel="0" collapsed="false">
      <c r="A23" s="0" t="s">
        <v>44</v>
      </c>
      <c r="B23" s="0" t="s">
        <v>45</v>
      </c>
      <c r="C23" s="0" t="n">
        <v>5</v>
      </c>
      <c r="D23" s="7" t="n">
        <v>8000</v>
      </c>
      <c r="E23" s="7" t="n">
        <v>54860</v>
      </c>
      <c r="F23" s="8" t="n">
        <f aca="false">D23*E23/1000/100000</f>
        <v>4.3888</v>
      </c>
    </row>
    <row r="24" customFormat="false" ht="15" hidden="false" customHeight="false" outlineLevel="0" collapsed="false">
      <c r="A24" s="0" t="s">
        <v>46</v>
      </c>
      <c r="B24" s="0" t="s">
        <v>47</v>
      </c>
      <c r="C24" s="0" t="n">
        <v>5</v>
      </c>
      <c r="D24" s="7" t="n">
        <v>60000</v>
      </c>
      <c r="E24" s="7" t="n">
        <v>8110</v>
      </c>
      <c r="F24" s="8" t="n">
        <f aca="false">D24*E24/1000/100000</f>
        <v>4.866</v>
      </c>
    </row>
    <row r="25" customFormat="false" ht="15" hidden="false" customHeight="false" outlineLevel="0" collapsed="false">
      <c r="A25" s="6" t="s">
        <v>48</v>
      </c>
      <c r="B25" s="6"/>
      <c r="C25" s="6"/>
      <c r="D25" s="6"/>
      <c r="E25" s="6"/>
      <c r="F25" s="6"/>
      <c r="G25" s="6"/>
    </row>
    <row r="26" customFormat="false" ht="15" hidden="false" customHeight="false" outlineLevel="0" collapsed="false">
      <c r="A26" s="0" t="s">
        <v>49</v>
      </c>
      <c r="B26" s="0" t="s">
        <v>50</v>
      </c>
      <c r="C26" s="0" t="n">
        <v>3</v>
      </c>
      <c r="D26" s="7" t="n">
        <v>180000</v>
      </c>
      <c r="E26" s="7" t="n">
        <v>13875</v>
      </c>
      <c r="F26" s="8" t="n">
        <f aca="false">D26*E26/1000/100000</f>
        <v>24.975</v>
      </c>
    </row>
    <row r="27" customFormat="false" ht="15" hidden="false" customHeight="false" outlineLevel="0" collapsed="false">
      <c r="A27" s="0" t="s">
        <v>51</v>
      </c>
      <c r="B27" s="0" t="s">
        <v>52</v>
      </c>
      <c r="C27" s="0" t="n">
        <v>3</v>
      </c>
      <c r="D27" s="7" t="n">
        <v>220000</v>
      </c>
      <c r="E27" s="7" t="n">
        <v>10525</v>
      </c>
      <c r="F27" s="8" t="n">
        <f aca="false">D27*E27/1000/100000</f>
        <v>23.155</v>
      </c>
    </row>
    <row r="28" customFormat="false" ht="15" hidden="false" customHeight="false" outlineLevel="0" collapsed="false">
      <c r="A28" s="0" t="s">
        <v>53</v>
      </c>
      <c r="B28" s="0" t="s">
        <v>54</v>
      </c>
      <c r="C28" s="0" t="n">
        <v>3</v>
      </c>
      <c r="D28" s="7" t="n">
        <v>90000</v>
      </c>
      <c r="E28" s="7" t="n">
        <v>15970</v>
      </c>
      <c r="F28" s="8" t="n">
        <f aca="false">D28*E28/1000/100000</f>
        <v>14.373</v>
      </c>
    </row>
    <row r="29" customFormat="false" ht="15" hidden="false" customHeight="false" outlineLevel="0" collapsed="false">
      <c r="A29" s="0" t="s">
        <v>55</v>
      </c>
      <c r="B29" s="0" t="s">
        <v>56</v>
      </c>
      <c r="C29" s="0" t="n">
        <v>3</v>
      </c>
      <c r="D29" s="7" t="n">
        <v>150000</v>
      </c>
      <c r="E29" s="7" t="n">
        <v>17355</v>
      </c>
      <c r="F29" s="8" t="n">
        <f aca="false">D29*E29/1000/100000</f>
        <v>26.0325</v>
      </c>
    </row>
    <row r="30" customFormat="false" ht="15" hidden="false" customHeight="false" outlineLevel="0" collapsed="false">
      <c r="A30" s="0" t="s">
        <v>57</v>
      </c>
      <c r="B30" s="0" t="s">
        <v>58</v>
      </c>
      <c r="C30" s="0" t="n">
        <v>3</v>
      </c>
      <c r="D30" s="7" t="n">
        <v>80000</v>
      </c>
      <c r="E30" s="7" t="n">
        <v>22740</v>
      </c>
      <c r="F30" s="8" t="n">
        <f aca="false">D30*E30/1000/100000</f>
        <v>18.192</v>
      </c>
    </row>
    <row r="31" customFormat="false" ht="15" hidden="false" customHeight="false" outlineLevel="0" collapsed="false">
      <c r="A31" s="0" t="s">
        <v>59</v>
      </c>
      <c r="B31" s="0" t="s">
        <v>60</v>
      </c>
      <c r="C31" s="0" t="n">
        <v>3</v>
      </c>
      <c r="D31" s="7" t="n">
        <v>120000</v>
      </c>
      <c r="E31" s="7" t="n">
        <v>27315</v>
      </c>
      <c r="F31" s="8" t="n">
        <f aca="false">D31*E31/1000/100000</f>
        <v>32.778</v>
      </c>
    </row>
    <row r="32" customFormat="false" ht="15" hidden="false" customHeight="false" outlineLevel="0" collapsed="false">
      <c r="A32" s="0" t="s">
        <v>61</v>
      </c>
      <c r="B32" s="0" t="s">
        <v>62</v>
      </c>
      <c r="C32" s="0" t="n">
        <v>3</v>
      </c>
      <c r="D32" s="7" t="n">
        <v>60000</v>
      </c>
      <c r="E32" s="7" t="n">
        <v>7120</v>
      </c>
      <c r="F32" s="8" t="n">
        <f aca="false">D32*E32/1000/100000</f>
        <v>4.272</v>
      </c>
    </row>
    <row r="33" customFormat="false" ht="15" hidden="false" customHeight="false" outlineLevel="0" collapsed="false">
      <c r="A33" s="0" t="s">
        <v>63</v>
      </c>
      <c r="B33" s="0" t="s">
        <v>64</v>
      </c>
      <c r="C33" s="0" t="n">
        <v>3</v>
      </c>
      <c r="D33" s="7" t="n">
        <v>100000</v>
      </c>
      <c r="E33" s="7" t="n">
        <v>7625</v>
      </c>
      <c r="F33" s="8" t="n">
        <f aca="false">D33*E33/1000/100000</f>
        <v>7.625</v>
      </c>
    </row>
    <row r="34" customFormat="false" ht="15" hidden="false" customHeight="false" outlineLevel="0" collapsed="false">
      <c r="A34" s="0" t="s">
        <v>65</v>
      </c>
      <c r="B34" s="0" t="s">
        <v>66</v>
      </c>
      <c r="C34" s="0" t="n">
        <v>3</v>
      </c>
      <c r="D34" s="7" t="n">
        <v>70000</v>
      </c>
      <c r="E34" s="7" t="n">
        <v>11510</v>
      </c>
      <c r="F34" s="8" t="n">
        <f aca="false">D34*E34/1000/100000</f>
        <v>8.057</v>
      </c>
    </row>
    <row r="35" customFormat="false" ht="15" hidden="false" customHeight="false" outlineLevel="0" collapsed="false">
      <c r="A35" s="0" t="s">
        <v>67</v>
      </c>
      <c r="B35" s="0" t="s">
        <v>68</v>
      </c>
      <c r="C35" s="0" t="n">
        <v>3</v>
      </c>
      <c r="D35" s="7" t="n">
        <v>50000</v>
      </c>
      <c r="E35" s="7" t="n">
        <v>11475</v>
      </c>
      <c r="F35" s="8" t="n">
        <f aca="false">D35*E35/1000/100000</f>
        <v>5.7375</v>
      </c>
    </row>
    <row r="36" customFormat="false" ht="15" hidden="false" customHeight="false" outlineLevel="0" collapsed="false">
      <c r="A36" s="0" t="s">
        <v>69</v>
      </c>
      <c r="B36" s="0" t="s">
        <v>70</v>
      </c>
      <c r="C36" s="0" t="n">
        <v>3</v>
      </c>
      <c r="D36" s="7" t="n">
        <v>60000</v>
      </c>
      <c r="E36" s="7" t="n">
        <v>5800</v>
      </c>
      <c r="F36" s="8" t="n">
        <f aca="false">D36*E36/1000/100000</f>
        <v>3.48</v>
      </c>
    </row>
    <row r="37" customFormat="false" ht="15" hidden="false" customHeight="false" outlineLevel="0" collapsed="false">
      <c r="A37" s="0" t="s">
        <v>71</v>
      </c>
      <c r="B37" s="0" t="s">
        <v>72</v>
      </c>
      <c r="C37" s="0" t="n">
        <v>3</v>
      </c>
      <c r="D37" s="7" t="n">
        <v>300000</v>
      </c>
      <c r="E37" s="7" t="n">
        <v>2070</v>
      </c>
      <c r="F37" s="8" t="n">
        <f aca="false">D37*E37/1000/100000</f>
        <v>6.21</v>
      </c>
    </row>
    <row r="38" customFormat="false" ht="15" hidden="false" customHeight="false" outlineLevel="0" collapsed="false">
      <c r="A38" s="0" t="s">
        <v>73</v>
      </c>
      <c r="B38" s="0" t="s">
        <v>74</v>
      </c>
      <c r="C38" s="0" t="n">
        <v>3</v>
      </c>
      <c r="D38" s="7" t="n">
        <v>140000</v>
      </c>
      <c r="E38" s="7" t="n">
        <v>3660</v>
      </c>
      <c r="F38" s="8" t="n">
        <f aca="false">D38*E38/1000/100000</f>
        <v>5.124</v>
      </c>
    </row>
    <row r="39" customFormat="false" ht="15" hidden="false" customHeight="false" outlineLevel="0" collapsed="false">
      <c r="A39" s="0" t="s">
        <v>75</v>
      </c>
      <c r="B39" s="0" t="s">
        <v>76</v>
      </c>
      <c r="C39" s="0" t="n">
        <v>3</v>
      </c>
      <c r="D39" s="7" t="n">
        <v>70000</v>
      </c>
      <c r="E39" s="7" t="n">
        <v>5100</v>
      </c>
      <c r="F39" s="8" t="n">
        <f aca="false">D39*E39/1000/100000</f>
        <v>3.57</v>
      </c>
    </row>
    <row r="41" customFormat="false" ht="15" hidden="false" customHeight="false" outlineLevel="0" collapsed="false">
      <c r="B41" s="0" t="s">
        <v>77</v>
      </c>
    </row>
    <row r="42" customFormat="false" ht="15" hidden="false" customHeight="false" outlineLevel="0" collapsed="false">
      <c r="B42" s="0" t="s">
        <v>78</v>
      </c>
    </row>
  </sheetData>
  <mergeCells count="5">
    <mergeCell ref="A1:G1"/>
    <mergeCell ref="A2:G2"/>
    <mergeCell ref="A4:C4"/>
    <mergeCell ref="A9:G9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2" t="s">
        <v>79</v>
      </c>
      <c r="B1" s="13"/>
    </row>
    <row r="2" customFormat="false" ht="15" hidden="false" customHeight="false" outlineLevel="0" collapsed="false">
      <c r="A2" s="13" t="s">
        <v>80</v>
      </c>
      <c r="B2" s="13" t="s">
        <v>81</v>
      </c>
    </row>
    <row r="3" customFormat="false" ht="15" hidden="false" customHeight="false" outlineLevel="0" collapsed="false">
      <c r="A3" s="13" t="s">
        <v>82</v>
      </c>
      <c r="B3" s="13" t="s">
        <v>83</v>
      </c>
    </row>
    <row r="4" customFormat="false" ht="15" hidden="false" customHeight="false" outlineLevel="0" collapsed="false">
      <c r="A4" s="13" t="s">
        <v>84</v>
      </c>
      <c r="B4" s="13" t="s">
        <v>85</v>
      </c>
    </row>
    <row r="5" customFormat="false" ht="15" hidden="false" customHeight="false" outlineLevel="0" collapsed="false">
      <c r="A5" s="13" t="s">
        <v>86</v>
      </c>
      <c r="B5" s="13" t="s">
        <v>87</v>
      </c>
    </row>
    <row r="6" customFormat="false" ht="15" hidden="false" customHeight="false" outlineLevel="0" collapsed="false">
      <c r="A6" s="13" t="s">
        <v>88</v>
      </c>
      <c r="B6" s="13" t="s">
        <v>89</v>
      </c>
    </row>
    <row r="7" customFormat="false" ht="15" hidden="false" customHeight="false" outlineLevel="0" collapsed="false">
      <c r="A7" s="13" t="s">
        <v>90</v>
      </c>
      <c r="B7" s="13" t="s">
        <v>91</v>
      </c>
    </row>
    <row r="8" customFormat="false" ht="15" hidden="false" customHeight="false" outlineLevel="0" collapsed="false">
      <c r="A8" s="13"/>
      <c r="B8" s="13"/>
    </row>
    <row r="9" customFormat="false" ht="15" hidden="false" customHeight="false" outlineLevel="0" collapsed="false">
      <c r="A9" s="12" t="s">
        <v>92</v>
      </c>
      <c r="B9" s="13"/>
    </row>
    <row r="10" customFormat="false" ht="15" hidden="false" customHeight="false" outlineLevel="0" collapsed="false">
      <c r="A10" s="13" t="s">
        <v>93</v>
      </c>
      <c r="B10" s="13" t="s">
        <v>94</v>
      </c>
    </row>
    <row r="11" customFormat="false" ht="15" hidden="false" customHeight="false" outlineLevel="0" collapsed="false">
      <c r="A11" s="13" t="s">
        <v>95</v>
      </c>
      <c r="B11" s="13" t="s">
        <v>96</v>
      </c>
    </row>
    <row r="12" customFormat="false" ht="15" hidden="false" customHeight="false" outlineLevel="0" collapsed="false">
      <c r="A12" s="13" t="s">
        <v>97</v>
      </c>
      <c r="B12" s="13" t="s">
        <v>98</v>
      </c>
    </row>
    <row r="13" customFormat="false" ht="15" hidden="false" customHeight="false" outlineLevel="0" collapsed="false">
      <c r="A13" s="13" t="s">
        <v>99</v>
      </c>
      <c r="B13" s="13" t="s">
        <v>100</v>
      </c>
    </row>
    <row r="14" customFormat="false" ht="15" hidden="false" customHeight="false" outlineLevel="0" collapsed="false">
      <c r="A14" s="13" t="s">
        <v>101</v>
      </c>
      <c r="B14" s="13" t="s">
        <v>102</v>
      </c>
    </row>
    <row r="15" customFormat="false" ht="15" hidden="false" customHeight="false" outlineLevel="0" collapsed="false">
      <c r="A15" s="13" t="s">
        <v>103</v>
      </c>
      <c r="B15" s="13" t="s">
        <v>104</v>
      </c>
    </row>
    <row r="16" customFormat="false" ht="15" hidden="false" customHeight="false" outlineLevel="0" collapsed="false">
      <c r="A16" s="13" t="s">
        <v>105</v>
      </c>
      <c r="B16" s="13" t="s">
        <v>106</v>
      </c>
    </row>
    <row r="17" customFormat="false" ht="15" hidden="false" customHeight="false" outlineLevel="0" collapsed="false">
      <c r="A17" s="13" t="s">
        <v>107</v>
      </c>
      <c r="B17" s="13" t="s">
        <v>108</v>
      </c>
    </row>
    <row r="18" customFormat="false" ht="15" hidden="false" customHeight="false" outlineLevel="0" collapsed="false">
      <c r="A18" s="13" t="s">
        <v>109</v>
      </c>
      <c r="B18" s="13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2026-10-06T11:56:07Z</dcterms:created>
  <dc:creator>openpyxl</dc:creator>
  <dc:description/>
  <dc:language>en-US</dc:language>
  <cp:lastModifiedBy/>
  <dcterms:modified xsi:type="dcterms:W3CDTF">2026-10-06T11:56:07Z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