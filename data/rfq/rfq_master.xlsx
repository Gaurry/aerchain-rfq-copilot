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Q Line Items" sheetId="1" state="visible" r:id="rId3"/>
    <sheet name="Assumptions" sheetId="2" state="visible" r:id="rId4"/>
    <sheet name="Questionnaire" sheetId="3" state="visible" r:id="rId5"/>
    <sheet name="Vendor Histo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<sst xmlns="http://schemas.openxmlformats.org/spreadsheetml/2006/main" count="345" uniqueCount="213">
  <si>
    <t xml:space="preserve">Line</t>
  </si>
  <si>
    <t xml:space="preserve">Item code</t>
  </si>
  <si>
    <t xml:space="preserve">Description</t>
  </si>
  <si>
    <t xml:space="preserve">Box type</t>
  </si>
  <si>
    <t xml:space="preserve">Size LxWxH (mm)</t>
  </si>
  <si>
    <t xml:space="preserve">Ply</t>
  </si>
  <si>
    <t xml:space="preserve">Flute</t>
  </si>
  <si>
    <t xml:space="preserve">Paper spec</t>
  </si>
  <si>
    <t xml:space="preserve">Print</t>
  </si>
  <si>
    <t xml:space="preserve">Annual qty (pcs)</t>
  </si>
  <si>
    <t xml:space="preserve">Box weight (g)</t>
  </si>
  <si>
    <t xml:space="preserve">Last-year rate (₹/kg)</t>
  </si>
  <si>
    <t xml:space="preserve">Last-year price (₹/pc)</t>
  </si>
  <si>
    <t xml:space="preserve">Last-year spend (₹)</t>
  </si>
  <si>
    <t xml:space="preserve">Notes</t>
  </si>
  <si>
    <t xml:space="preserve">CB-301</t>
  </si>
  <si>
    <t xml:space="preserve">Biscuit 200g shipper</t>
  </si>
  <si>
    <t xml:space="preserve">RSC</t>
  </si>
  <si>
    <t xml:space="preserve">400x300x200</t>
  </si>
  <si>
    <t xml:space="preserve">B</t>
  </si>
  <si>
    <t xml:space="preserve">Liners 150/150 GSM, flutes 120 GSM, 18 BF</t>
  </si>
  <si>
    <t xml:space="preserve">1-colour flexo</t>
  </si>
  <si>
    <t xml:space="preserve">CB-302</t>
  </si>
  <si>
    <t xml:space="preserve">Biscuit 100g shipper</t>
  </si>
  <si>
    <t xml:space="preserve">360x250x180</t>
  </si>
  <si>
    <t xml:space="preserve">CB-303</t>
  </si>
  <si>
    <t xml:space="preserve">Rusk 300g shipper</t>
  </si>
  <si>
    <t xml:space="preserve">420x320x220</t>
  </si>
  <si>
    <t xml:space="preserve">CB-304</t>
  </si>
  <si>
    <t xml:space="preserve">Namkeen 150g shipper</t>
  </si>
  <si>
    <t xml:space="preserve">450x300x300</t>
  </si>
  <si>
    <t xml:space="preserve">C</t>
  </si>
  <si>
    <t xml:space="preserve">CB-305</t>
  </si>
  <si>
    <t xml:space="preserve">Namkeen 400g shipper</t>
  </si>
  <si>
    <t xml:space="preserve">500x350x320</t>
  </si>
  <si>
    <t xml:space="preserve">2-colour flexo</t>
  </si>
  <si>
    <t xml:space="preserve">CB-306</t>
  </si>
  <si>
    <t xml:space="preserve">Chips family pack shipper</t>
  </si>
  <si>
    <t xml:space="preserve">550x400x350</t>
  </si>
  <si>
    <t xml:space="preserve">CB-307</t>
  </si>
  <si>
    <t xml:space="preserve">Sample/promo box</t>
  </si>
  <si>
    <t xml:space="preserve">250x200x150</t>
  </si>
  <si>
    <t xml:space="preserve">CB-308</t>
  </si>
  <si>
    <t xml:space="preserve">E-com mailer small</t>
  </si>
  <si>
    <t xml:space="preserve">300x220x100</t>
  </si>
  <si>
    <t xml:space="preserve">E</t>
  </si>
  <si>
    <t xml:space="preserve">CB-309</t>
  </si>
  <si>
    <t xml:space="preserve">E-com mailer medium</t>
  </si>
  <si>
    <t xml:space="preserve">380x280x140</t>
  </si>
  <si>
    <t xml:space="preserve">CB-310</t>
  </si>
  <si>
    <t xml:space="preserve">Plain filler box</t>
  </si>
  <si>
    <t xml:space="preserve">350x250x250</t>
  </si>
  <si>
    <t xml:space="preserve">Plain</t>
  </si>
  <si>
    <t xml:space="preserve">CB-501</t>
  </si>
  <si>
    <t xml:space="preserve">Oil 1L x12 shipper</t>
  </si>
  <si>
    <t xml:space="preserve">330x250x290</t>
  </si>
  <si>
    <t xml:space="preserve">BC</t>
  </si>
  <si>
    <t xml:space="preserve">Liners 180/150/150 GSM, flutes 120/120 GSM, 20 BF</t>
  </si>
  <si>
    <t xml:space="preserve">CB-502</t>
  </si>
  <si>
    <t xml:space="preserve">Oil 5L x4 shipper</t>
  </si>
  <si>
    <t xml:space="preserve">380x340x320</t>
  </si>
  <si>
    <t xml:space="preserve">CB-503</t>
  </si>
  <si>
    <t xml:space="preserve">Ghee 1L jar x12 shipper</t>
  </si>
  <si>
    <t xml:space="preserve">360x270x200</t>
  </si>
  <si>
    <t xml:space="preserve">CB-504</t>
  </si>
  <si>
    <t xml:space="preserve">Pickle jar x24 shipper</t>
  </si>
  <si>
    <t xml:space="preserve">400x300x180</t>
  </si>
  <si>
    <t xml:space="preserve">CB-505</t>
  </si>
  <si>
    <t xml:space="preserve">Sauce bottle x24 shipper</t>
  </si>
  <si>
    <t xml:space="preserve">420x280x230</t>
  </si>
  <si>
    <t xml:space="preserve">CB-506</t>
  </si>
  <si>
    <t xml:space="preserve">Juice tetra x24 shipper</t>
  </si>
  <si>
    <t xml:space="preserve">400x260x210</t>
  </si>
  <si>
    <t xml:space="preserve">CB-507</t>
  </si>
  <si>
    <t xml:space="preserve">Atta 5kg x4 shipper</t>
  </si>
  <si>
    <t xml:space="preserve">460x360x300</t>
  </si>
  <si>
    <t xml:space="preserve">CB-508</t>
  </si>
  <si>
    <t xml:space="preserve">Atta 10kg x2 shipper</t>
  </si>
  <si>
    <t xml:space="preserve">500x380x320</t>
  </si>
  <si>
    <t xml:space="preserve">CB-509</t>
  </si>
  <si>
    <t xml:space="preserve">Rice 25kg master carton</t>
  </si>
  <si>
    <t xml:space="preserve">600x400x350</t>
  </si>
  <si>
    <t xml:space="preserve">CB-510</t>
  </si>
  <si>
    <t xml:space="preserve">Export master carton</t>
  </si>
  <si>
    <t xml:space="preserve">600x400x400</t>
  </si>
  <si>
    <t xml:space="preserve">CB-511</t>
  </si>
  <si>
    <t xml:space="preserve">Gift hamper outer</t>
  </si>
  <si>
    <t xml:space="preserve">450x350x150</t>
  </si>
  <si>
    <t xml:space="preserve">4-colour flexo</t>
  </si>
  <si>
    <t xml:space="preserve">specialty: 4-colour print</t>
  </si>
  <si>
    <t xml:space="preserve">CB-512</t>
  </si>
  <si>
    <t xml:space="preserve">Pallet top/bottom tray</t>
  </si>
  <si>
    <t xml:space="preserve">Tray</t>
  </si>
  <si>
    <t xml:space="preserve">1200x1000x100</t>
  </si>
  <si>
    <t xml:space="preserve">CB-701</t>
  </si>
  <si>
    <t xml:space="preserve">Heavy-duty bulk carton</t>
  </si>
  <si>
    <t xml:space="preserve">800x600x600</t>
  </si>
  <si>
    <t xml:space="preserve">BCB</t>
  </si>
  <si>
    <t xml:space="preserve">Liners 200/180/150/180 GSM, flutes 120/120/120 GSM, 22 BF</t>
  </si>
  <si>
    <t xml:space="preserve">specialty: 7-ply</t>
  </si>
  <si>
    <t xml:space="preserve">CB-702</t>
  </si>
  <si>
    <t xml:space="preserve">Heavy-duty export carton</t>
  </si>
  <si>
    <t xml:space="preserve">700x500x500</t>
  </si>
  <si>
    <t xml:space="preserve">DC-101</t>
  </si>
  <si>
    <t xml:space="preserve">Die-cut display tray (counter)</t>
  </si>
  <si>
    <t xml:space="preserve">Die-cut</t>
  </si>
  <si>
    <t xml:space="preserve">350x250x80</t>
  </si>
  <si>
    <t xml:space="preserve">specialty: die-cut + 4-colour</t>
  </si>
  <si>
    <t xml:space="preserve">DC-102</t>
  </si>
  <si>
    <t xml:space="preserve">Die-cut sleeve</t>
  </si>
  <si>
    <t xml:space="preserve">300x200x60</t>
  </si>
  <si>
    <t xml:space="preserve">PT-101</t>
  </si>
  <si>
    <t xml:space="preserve">Partition set 12-cell (for CB-501)</t>
  </si>
  <si>
    <t xml:space="preserve">Partition</t>
  </si>
  <si>
    <t xml:space="preserve">330x250x280</t>
  </si>
  <si>
    <t xml:space="preserve">matched to CB-501</t>
  </si>
  <si>
    <t xml:space="preserve">PT-102</t>
  </si>
  <si>
    <t xml:space="preserve">Partition set 24-cell (for CB-505)</t>
  </si>
  <si>
    <t xml:space="preserve">420x280x220</t>
  </si>
  <si>
    <t xml:space="preserve">matched to CB-505</t>
  </si>
  <si>
    <t xml:space="preserve">PD-101</t>
  </si>
  <si>
    <t xml:space="preserve">Layer pad 400x300</t>
  </si>
  <si>
    <t xml:space="preserve">Pad</t>
  </si>
  <si>
    <t xml:space="preserve">400x300</t>
  </si>
  <si>
    <t xml:space="preserve">PD-102</t>
  </si>
  <si>
    <t xml:space="preserve">Layer pad 600x400</t>
  </si>
  <si>
    <t xml:space="preserve">600x400</t>
  </si>
  <si>
    <t xml:space="preserve">Total</t>
  </si>
  <si>
    <t xml:space="preserve">Total (₹ Cr)</t>
  </si>
  <si>
    <t xml:space="preserve">Assumption</t>
  </si>
  <si>
    <t xml:space="preserve">Value</t>
  </si>
  <si>
    <t xml:space="preserve">Why it matters</t>
  </si>
  <si>
    <t xml:space="preserve">Buyer</t>
  </si>
  <si>
    <t xml:space="preserve">Mid-size FMCG foods maker, plants in NCR</t>
  </si>
  <si>
    <t xml:space="preserve">Sets realistic SKUs and vendor locations</t>
  </si>
  <si>
    <t xml:space="preserve">Board weight formula</t>
  </si>
  <si>
    <t xml:space="preserve">Liner GSM + flute GSM × 1.45 take-up</t>
  </si>
  <si>
    <t xml:space="preserve">Lets code convert ₹/kg quotes to ₹/box</t>
  </si>
  <si>
    <t xml:space="preserve">RSC blank area</t>
  </si>
  <si>
    <t xml:space="preserve">(2L+2W+35mm glue flap) × (H+W+10mm)</t>
  </si>
  <si>
    <t xml:space="preserve">Standard regular slotted carton blank</t>
  </si>
  <si>
    <t xml:space="preserve">Trim/wastage</t>
  </si>
  <si>
    <t xml:space="preserve">4%</t>
  </si>
  <si>
    <t xml:space="preserve">Included in box weight</t>
  </si>
  <si>
    <t xml:space="preserve">Last-year conversion rate</t>
  </si>
  <si>
    <t xml:space="preserve">3-ply ₹36/kg, 5-ply ₹40/kg, 7-ply ₹46/kg</t>
  </si>
  <si>
    <t xml:space="preserve">Om Sai's 'same as last year' resolves to these</t>
  </si>
  <si>
    <t xml:space="preserve">Print adder (per box)</t>
  </si>
  <si>
    <t xml:space="preserve">1-col ₹0.60, 2-col ₹1.10, 4-col ₹2.40</t>
  </si>
  <si>
    <t xml:space="preserve">Separates printing from board cost</t>
  </si>
  <si>
    <t xml:space="preserve">Prices</t>
  </si>
  <si>
    <t xml:space="preserve">Ex-GST (GST 18%), ex-works</t>
  </si>
  <si>
    <t xml:space="preserve">Baseline basis; vendors will deviate</t>
  </si>
  <si>
    <t xml:space="preserve">Source</t>
  </si>
  <si>
    <t xml:space="preserve">Fabricated for the Aerchain take-home</t>
  </si>
  <si>
    <t xml:space="preserve">Illustrative, not market data</t>
  </si>
  <si>
    <t xml:space="preserve">Buyer plant</t>
  </si>
  <si>
    <t xml:space="preserve">Bawal, Haryana</t>
  </si>
  <si>
    <t xml:space="preserve">Delivery point for all quotes</t>
  </si>
  <si>
    <t xml:space="preserve">RFQ dates</t>
  </si>
  <si>
    <t xml:space="preserve">Sent 21-Sep-2026, due 30-Sep-2026</t>
  </si>
  <si>
    <t xml:space="preserve">Used to judge certificate validity</t>
  </si>
  <si>
    <t xml:space="preserve">#</t>
  </si>
  <si>
    <t xml:space="preserve">Question</t>
  </si>
  <si>
    <t xml:space="preserve">Type</t>
  </si>
  <si>
    <t xml:space="preserve">Gate rule</t>
  </si>
  <si>
    <t xml:space="preserve">Valid ISO 9001:2015 certificate (attach copy)</t>
  </si>
  <si>
    <t xml:space="preserve">Mandatory</t>
  </si>
  <si>
    <t xml:space="preserve">Must be valid on RFQ due date (30-Sep-2026)</t>
  </si>
  <si>
    <t xml:space="preserve">Bursting strength / ECT test report with every lot</t>
  </si>
  <si>
    <t xml:space="preserve">Yes required</t>
  </si>
  <si>
    <t xml:space="preserve">Monthly production capacity (MT)</t>
  </si>
  <si>
    <t xml:space="preserve">Info</t>
  </si>
  <si>
    <t xml:space="preserve">Flag if &lt; 3x our monthly need</t>
  </si>
  <si>
    <t xml:space="preserve">Lead time from PO (days)</t>
  </si>
  <si>
    <t xml:space="preserve">≤ 10 days</t>
  </si>
  <si>
    <t xml:space="preserve">Food-safe, low-migration inks</t>
  </si>
  <si>
    <t xml:space="preserve">Accept 60-day payment terms</t>
  </si>
  <si>
    <t xml:space="preserve">Preferred</t>
  </si>
  <si>
    <t xml:space="preserve">Deviation noted, not a fail</t>
  </si>
  <si>
    <t xml:space="preserve">Price validity (days)</t>
  </si>
  <si>
    <t xml:space="preserve">≥ 90 days preferred</t>
  </si>
  <si>
    <t xml:space="preserve">Raw-material escalation mechanism</t>
  </si>
  <si>
    <t xml:space="preserve">Describe</t>
  </si>
  <si>
    <t xml:space="preserve">Customer rejection rate, last 12 months (%)</t>
  </si>
  <si>
    <t xml:space="preserve">Flag if &gt; 1%</t>
  </si>
  <si>
    <t xml:space="preserve">Vendor</t>
  </si>
  <si>
    <t xml:space="preserve">Item</t>
  </si>
  <si>
    <t xml:space="preserve">Date on file</t>
  </si>
  <si>
    <t xml:space="preserve">Om Sai Packaging</t>
  </si>
  <si>
    <t xml:space="preserve">Status</t>
  </si>
  <si>
    <t xml:space="preserve">Incumbent supplier FY26 (all 30 lines)</t>
  </si>
  <si>
    <t xml:space="preserve">Contract Oct-2025</t>
  </si>
  <si>
    <t xml:space="preserve">Q1 ISO 9001</t>
  </si>
  <si>
    <t xml:space="preserve">Yes, valid till 30-Jun-2027</t>
  </si>
  <si>
    <t xml:space="preserve">24-Sep-2025</t>
  </si>
  <si>
    <t xml:space="preserve">Q2 Test report per lot</t>
  </si>
  <si>
    <t xml:space="preserve">Yes</t>
  </si>
  <si>
    <t xml:space="preserve">Q3 Capacity</t>
  </si>
  <si>
    <t xml:space="preserve">400 MT/month</t>
  </si>
  <si>
    <t xml:space="preserve">Q4 Lead time</t>
  </si>
  <si>
    <t xml:space="preserve">7 days</t>
  </si>
  <si>
    <t xml:space="preserve">Q5 Food-safe inks</t>
  </si>
  <si>
    <t xml:space="preserve">Q6 60-day payment</t>
  </si>
  <si>
    <t xml:space="preserve">Accepted</t>
  </si>
  <si>
    <t xml:space="preserve">Q7 Price validity</t>
  </si>
  <si>
    <t xml:space="preserve">90 days</t>
  </si>
  <si>
    <t xml:space="preserve">Q8 Escalation</t>
  </si>
  <si>
    <t xml:space="preserve">Monthly, kraft index linked</t>
  </si>
  <si>
    <t xml:space="preserve">Q9 Rejection rate</t>
  </si>
  <si>
    <t xml:space="preserve">1.1%</t>
  </si>
  <si>
    <t xml:space="preserve">FY26 prices</t>
  </si>
  <si>
    <t xml:space="preserve">See 'Last-year price' column on RFQ Line Items tab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</si>
</sst>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"/>
    <col collapsed="false" customWidth="true" hidden="false" outlineLevel="0" max="7" min="7" style="0" width="6"/>
    <col collapsed="false" customWidth="true" hidden="false" outlineLevel="0" max="8" min="8" style="0" width="40"/>
    <col collapsed="false" customWidth="true" hidden="false" outlineLevel="0" max="10" min="9" style="0" width="14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2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3</v>
      </c>
      <c r="G2" s="2" t="s">
        <v>19</v>
      </c>
      <c r="H2" s="2" t="s">
        <v>20</v>
      </c>
      <c r="I2" s="2" t="s">
        <v>21</v>
      </c>
      <c r="J2" s="3" t="n">
        <v>180000</v>
      </c>
      <c r="K2" s="2" t="n">
        <v>361</v>
      </c>
      <c r="L2" s="2" t="n">
        <v>36</v>
      </c>
      <c r="M2" s="4" t="n">
        <v>13.59</v>
      </c>
      <c r="N2" s="3" t="n">
        <f aca="false">J2*M2</f>
        <v>2446200</v>
      </c>
      <c r="O2" s="2"/>
    </row>
    <row r="3" customFormat="false" ht="15" hidden="false" customHeight="false" outlineLevel="0" collapsed="false">
      <c r="A3" s="2" t="n">
        <v>2</v>
      </c>
      <c r="B3" s="2" t="s">
        <v>22</v>
      </c>
      <c r="C3" s="2" t="s">
        <v>23</v>
      </c>
      <c r="D3" s="2" t="s">
        <v>17</v>
      </c>
      <c r="E3" s="2" t="s">
        <v>24</v>
      </c>
      <c r="F3" s="2" t="n">
        <v>3</v>
      </c>
      <c r="G3" s="2" t="s">
        <v>19</v>
      </c>
      <c r="H3" s="2" t="s">
        <v>20</v>
      </c>
      <c r="I3" s="2" t="s">
        <v>21</v>
      </c>
      <c r="J3" s="3" t="n">
        <v>220000</v>
      </c>
      <c r="K3" s="2" t="n">
        <v>272</v>
      </c>
      <c r="L3" s="2" t="n">
        <v>36</v>
      </c>
      <c r="M3" s="4" t="n">
        <v>10.4</v>
      </c>
      <c r="N3" s="3" t="n">
        <f aca="false">J3*M3</f>
        <v>2288000</v>
      </c>
      <c r="O3" s="2"/>
    </row>
    <row r="4" customFormat="false" ht="15" hidden="false" customHeight="false" outlineLevel="0" collapsed="false">
      <c r="A4" s="2" t="n">
        <v>3</v>
      </c>
      <c r="B4" s="2" t="s">
        <v>25</v>
      </c>
      <c r="C4" s="2" t="s">
        <v>26</v>
      </c>
      <c r="D4" s="2" t="s">
        <v>17</v>
      </c>
      <c r="E4" s="2" t="s">
        <v>27</v>
      </c>
      <c r="F4" s="2" t="n">
        <v>3</v>
      </c>
      <c r="G4" s="2" t="s">
        <v>19</v>
      </c>
      <c r="H4" s="2" t="s">
        <v>20</v>
      </c>
      <c r="I4" s="2" t="s">
        <v>21</v>
      </c>
      <c r="J4" s="3" t="n">
        <v>90000</v>
      </c>
      <c r="K4" s="2" t="n">
        <v>411</v>
      </c>
      <c r="L4" s="2" t="n">
        <v>36</v>
      </c>
      <c r="M4" s="4" t="n">
        <v>15.39</v>
      </c>
      <c r="N4" s="3" t="n">
        <f aca="false">J4*M4</f>
        <v>1385100</v>
      </c>
      <c r="O4" s="2"/>
    </row>
    <row r="5" customFormat="false" ht="15" hidden="false" customHeight="false" outlineLevel="0" collapsed="false">
      <c r="A5" s="2" t="n">
        <v>4</v>
      </c>
      <c r="B5" s="2" t="s">
        <v>28</v>
      </c>
      <c r="C5" s="2" t="s">
        <v>29</v>
      </c>
      <c r="D5" s="2" t="s">
        <v>17</v>
      </c>
      <c r="E5" s="2" t="s">
        <v>30</v>
      </c>
      <c r="F5" s="2" t="n">
        <v>3</v>
      </c>
      <c r="G5" s="2" t="s">
        <v>31</v>
      </c>
      <c r="H5" s="2" t="s">
        <v>20</v>
      </c>
      <c r="I5" s="2" t="s">
        <v>21</v>
      </c>
      <c r="J5" s="3" t="n">
        <v>150000</v>
      </c>
      <c r="K5" s="2" t="n">
        <v>462</v>
      </c>
      <c r="L5" s="2" t="n">
        <v>36</v>
      </c>
      <c r="M5" s="4" t="n">
        <v>17.22</v>
      </c>
      <c r="N5" s="3" t="n">
        <f aca="false">J5*M5</f>
        <v>2583000</v>
      </c>
      <c r="O5" s="2"/>
    </row>
    <row r="6" customFormat="false" ht="15" hidden="false" customHeight="false" outlineLevel="0" collapsed="false">
      <c r="A6" s="2" t="n">
        <v>5</v>
      </c>
      <c r="B6" s="2" t="s">
        <v>32</v>
      </c>
      <c r="C6" s="2" t="s">
        <v>33</v>
      </c>
      <c r="D6" s="2" t="s">
        <v>17</v>
      </c>
      <c r="E6" s="2" t="s">
        <v>34</v>
      </c>
      <c r="F6" s="2" t="n">
        <v>3</v>
      </c>
      <c r="G6" s="2" t="s">
        <v>31</v>
      </c>
      <c r="H6" s="2" t="s">
        <v>20</v>
      </c>
      <c r="I6" s="2" t="s">
        <v>35</v>
      </c>
      <c r="J6" s="3" t="n">
        <v>80000</v>
      </c>
      <c r="K6" s="2" t="n">
        <v>582</v>
      </c>
      <c r="L6" s="2" t="n">
        <v>36</v>
      </c>
      <c r="M6" s="4" t="n">
        <v>22.04</v>
      </c>
      <c r="N6" s="3" t="n">
        <f aca="false">J6*M6</f>
        <v>1763200</v>
      </c>
      <c r="O6" s="2"/>
    </row>
    <row r="7" customFormat="false" ht="15" hidden="false" customHeight="false" outlineLevel="0" collapsed="false">
      <c r="A7" s="2" t="n">
        <v>6</v>
      </c>
      <c r="B7" s="2" t="s">
        <v>36</v>
      </c>
      <c r="C7" s="2" t="s">
        <v>37</v>
      </c>
      <c r="D7" s="2" t="s">
        <v>17</v>
      </c>
      <c r="E7" s="2" t="s">
        <v>38</v>
      </c>
      <c r="F7" s="2" t="n">
        <v>3</v>
      </c>
      <c r="G7" s="2" t="s">
        <v>31</v>
      </c>
      <c r="H7" s="2" t="s">
        <v>20</v>
      </c>
      <c r="I7" s="2" t="s">
        <v>21</v>
      </c>
      <c r="J7" s="3" t="n">
        <v>120000</v>
      </c>
      <c r="K7" s="2" t="n">
        <v>725</v>
      </c>
      <c r="L7" s="2" t="n">
        <v>36</v>
      </c>
      <c r="M7" s="4" t="n">
        <v>26.7</v>
      </c>
      <c r="N7" s="3" t="n">
        <f aca="false">J7*M7</f>
        <v>3204000</v>
      </c>
      <c r="O7" s="2"/>
    </row>
    <row r="8" customFormat="false" ht="15" hidden="false" customHeight="false" outlineLevel="0" collapsed="false">
      <c r="A8" s="2" t="n">
        <v>7</v>
      </c>
      <c r="B8" s="2" t="s">
        <v>39</v>
      </c>
      <c r="C8" s="2" t="s">
        <v>40</v>
      </c>
      <c r="D8" s="2" t="s">
        <v>17</v>
      </c>
      <c r="E8" s="2" t="s">
        <v>41</v>
      </c>
      <c r="F8" s="2" t="n">
        <v>3</v>
      </c>
      <c r="G8" s="2" t="s">
        <v>19</v>
      </c>
      <c r="H8" s="2" t="s">
        <v>20</v>
      </c>
      <c r="I8" s="2" t="s">
        <v>35</v>
      </c>
      <c r="J8" s="3" t="n">
        <v>60000</v>
      </c>
      <c r="K8" s="2" t="n">
        <v>166</v>
      </c>
      <c r="L8" s="2" t="n">
        <v>36</v>
      </c>
      <c r="M8" s="4" t="n">
        <v>7.07</v>
      </c>
      <c r="N8" s="3" t="n">
        <f aca="false">J8*M8</f>
        <v>424200</v>
      </c>
      <c r="O8" s="2"/>
    </row>
    <row r="9" customFormat="false" ht="15" hidden="false" customHeight="false" outlineLevel="0" collapsed="false">
      <c r="A9" s="2" t="n">
        <v>8</v>
      </c>
      <c r="B9" s="2" t="s">
        <v>42</v>
      </c>
      <c r="C9" s="2" t="s">
        <v>43</v>
      </c>
      <c r="D9" s="2" t="s">
        <v>17</v>
      </c>
      <c r="E9" s="2" t="s">
        <v>44</v>
      </c>
      <c r="F9" s="2" t="n">
        <v>3</v>
      </c>
      <c r="G9" s="2" t="s">
        <v>45</v>
      </c>
      <c r="H9" s="2" t="s">
        <v>20</v>
      </c>
      <c r="I9" s="2" t="s">
        <v>35</v>
      </c>
      <c r="J9" s="3" t="n">
        <v>100000</v>
      </c>
      <c r="K9" s="2" t="n">
        <v>175</v>
      </c>
      <c r="L9" s="2" t="n">
        <v>36</v>
      </c>
      <c r="M9" s="4" t="n">
        <v>7.4</v>
      </c>
      <c r="N9" s="3" t="n">
        <f aca="false">J9*M9</f>
        <v>740000</v>
      </c>
      <c r="O9" s="2"/>
    </row>
    <row r="10" customFormat="false" ht="15" hidden="false" customHeight="false" outlineLevel="0" collapsed="false">
      <c r="A10" s="2" t="n">
        <v>9</v>
      </c>
      <c r="B10" s="2" t="s">
        <v>46</v>
      </c>
      <c r="C10" s="2" t="s">
        <v>47</v>
      </c>
      <c r="D10" s="2" t="s">
        <v>17</v>
      </c>
      <c r="E10" s="2" t="s">
        <v>48</v>
      </c>
      <c r="F10" s="2" t="n">
        <v>3</v>
      </c>
      <c r="G10" s="2" t="s">
        <v>45</v>
      </c>
      <c r="H10" s="2" t="s">
        <v>20</v>
      </c>
      <c r="I10" s="2" t="s">
        <v>35</v>
      </c>
      <c r="J10" s="3" t="n">
        <v>70000</v>
      </c>
      <c r="K10" s="2" t="n">
        <v>287</v>
      </c>
      <c r="L10" s="2" t="n">
        <v>36</v>
      </c>
      <c r="M10" s="4" t="n">
        <v>11.44</v>
      </c>
      <c r="N10" s="3" t="n">
        <f aca="false">J10*M10</f>
        <v>800800</v>
      </c>
      <c r="O10" s="2"/>
    </row>
    <row r="11" customFormat="false" ht="15" hidden="false" customHeight="false" outlineLevel="0" collapsed="false">
      <c r="A11" s="2" t="n">
        <v>10</v>
      </c>
      <c r="B11" s="2" t="s">
        <v>49</v>
      </c>
      <c r="C11" s="2" t="s">
        <v>50</v>
      </c>
      <c r="D11" s="2" t="s">
        <v>17</v>
      </c>
      <c r="E11" s="2" t="s">
        <v>51</v>
      </c>
      <c r="F11" s="2" t="n">
        <v>3</v>
      </c>
      <c r="G11" s="2" t="s">
        <v>19</v>
      </c>
      <c r="H11" s="2" t="s">
        <v>20</v>
      </c>
      <c r="I11" s="2" t="s">
        <v>52</v>
      </c>
      <c r="J11" s="3" t="n">
        <v>50000</v>
      </c>
      <c r="K11" s="2" t="n">
        <v>310</v>
      </c>
      <c r="L11" s="2" t="n">
        <v>36</v>
      </c>
      <c r="M11" s="4" t="n">
        <v>11.18</v>
      </c>
      <c r="N11" s="3" t="n">
        <f aca="false">J11*M11</f>
        <v>559000</v>
      </c>
      <c r="O11" s="2"/>
    </row>
    <row r="12" customFormat="false" ht="15" hidden="false" customHeight="false" outlineLevel="0" collapsed="false">
      <c r="A12" s="2" t="n">
        <v>11</v>
      </c>
      <c r="B12" s="2" t="s">
        <v>53</v>
      </c>
      <c r="C12" s="2" t="s">
        <v>54</v>
      </c>
      <c r="D12" s="2" t="s">
        <v>17</v>
      </c>
      <c r="E12" s="2" t="s">
        <v>55</v>
      </c>
      <c r="F12" s="2" t="n">
        <v>5</v>
      </c>
      <c r="G12" s="2" t="s">
        <v>56</v>
      </c>
      <c r="H12" s="2" t="s">
        <v>57</v>
      </c>
      <c r="I12" s="2" t="s">
        <v>21</v>
      </c>
      <c r="J12" s="3" t="n">
        <v>140000</v>
      </c>
      <c r="K12" s="2" t="n">
        <v>566</v>
      </c>
      <c r="L12" s="2" t="n">
        <v>40</v>
      </c>
      <c r="M12" s="4" t="n">
        <v>23.24</v>
      </c>
      <c r="N12" s="3" t="n">
        <f aca="false">J12*M12</f>
        <v>3253600</v>
      </c>
      <c r="O12" s="2"/>
    </row>
    <row r="13" customFormat="false" ht="15" hidden="false" customHeight="false" outlineLevel="0" collapsed="false">
      <c r="A13" s="2" t="n">
        <v>12</v>
      </c>
      <c r="B13" s="2" t="s">
        <v>58</v>
      </c>
      <c r="C13" s="2" t="s">
        <v>59</v>
      </c>
      <c r="D13" s="2" t="s">
        <v>17</v>
      </c>
      <c r="E13" s="2" t="s">
        <v>60</v>
      </c>
      <c r="F13" s="2" t="n">
        <v>5</v>
      </c>
      <c r="G13" s="2" t="s">
        <v>56</v>
      </c>
      <c r="H13" s="2" t="s">
        <v>57</v>
      </c>
      <c r="I13" s="2" t="s">
        <v>21</v>
      </c>
      <c r="J13" s="3" t="n">
        <v>60000</v>
      </c>
      <c r="K13" s="2" t="n">
        <v>851</v>
      </c>
      <c r="L13" s="2" t="n">
        <v>40</v>
      </c>
      <c r="M13" s="4" t="n">
        <v>34.64</v>
      </c>
      <c r="N13" s="3" t="n">
        <f aca="false">J13*M13</f>
        <v>2078400</v>
      </c>
      <c r="O13" s="2"/>
    </row>
    <row r="14" customFormat="false" ht="15" hidden="false" customHeight="false" outlineLevel="0" collapsed="false">
      <c r="A14" s="2" t="n">
        <v>13</v>
      </c>
      <c r="B14" s="2" t="s">
        <v>61</v>
      </c>
      <c r="C14" s="2" t="s">
        <v>62</v>
      </c>
      <c r="D14" s="2" t="s">
        <v>17</v>
      </c>
      <c r="E14" s="2" t="s">
        <v>63</v>
      </c>
      <c r="F14" s="2" t="n">
        <v>5</v>
      </c>
      <c r="G14" s="2" t="s">
        <v>56</v>
      </c>
      <c r="H14" s="2" t="s">
        <v>57</v>
      </c>
      <c r="I14" s="2" t="s">
        <v>35</v>
      </c>
      <c r="J14" s="3" t="n">
        <v>50000</v>
      </c>
      <c r="K14" s="2" t="n">
        <v>535</v>
      </c>
      <c r="L14" s="2" t="n">
        <v>40</v>
      </c>
      <c r="M14" s="4" t="n">
        <v>22.51</v>
      </c>
      <c r="N14" s="3" t="n">
        <f aca="false">J14*M14</f>
        <v>1125500</v>
      </c>
      <c r="O14" s="2"/>
    </row>
    <row r="15" customFormat="false" ht="15" hidden="false" customHeight="false" outlineLevel="0" collapsed="false">
      <c r="A15" s="2" t="n">
        <v>14</v>
      </c>
      <c r="B15" s="2" t="s">
        <v>64</v>
      </c>
      <c r="C15" s="2" t="s">
        <v>65</v>
      </c>
      <c r="D15" s="2" t="s">
        <v>17</v>
      </c>
      <c r="E15" s="2" t="s">
        <v>66</v>
      </c>
      <c r="F15" s="2" t="n">
        <v>5</v>
      </c>
      <c r="G15" s="2" t="s">
        <v>56</v>
      </c>
      <c r="H15" s="2" t="s">
        <v>57</v>
      </c>
      <c r="I15" s="2" t="s">
        <v>21</v>
      </c>
      <c r="J15" s="3" t="n">
        <v>45000</v>
      </c>
      <c r="K15" s="2" t="n">
        <v>605</v>
      </c>
      <c r="L15" s="2" t="n">
        <v>40</v>
      </c>
      <c r="M15" s="4" t="n">
        <v>24.82</v>
      </c>
      <c r="N15" s="3" t="n">
        <f aca="false">J15*M15</f>
        <v>1116900</v>
      </c>
      <c r="O15" s="2"/>
    </row>
    <row r="16" customFormat="false" ht="15" hidden="false" customHeight="false" outlineLevel="0" collapsed="false">
      <c r="A16" s="2" t="n">
        <v>15</v>
      </c>
      <c r="B16" s="2" t="s">
        <v>67</v>
      </c>
      <c r="C16" s="2" t="s">
        <v>68</v>
      </c>
      <c r="D16" s="2" t="s">
        <v>17</v>
      </c>
      <c r="E16" s="2" t="s">
        <v>69</v>
      </c>
      <c r="F16" s="2" t="n">
        <v>5</v>
      </c>
      <c r="G16" s="2" t="s">
        <v>56</v>
      </c>
      <c r="H16" s="2" t="s">
        <v>57</v>
      </c>
      <c r="I16" s="2" t="s">
        <v>21</v>
      </c>
      <c r="J16" s="3" t="n">
        <v>70000</v>
      </c>
      <c r="K16" s="2" t="n">
        <v>643</v>
      </c>
      <c r="L16" s="2" t="n">
        <v>40</v>
      </c>
      <c r="M16" s="4" t="n">
        <v>26.3</v>
      </c>
      <c r="N16" s="3" t="n">
        <f aca="false">J16*M16</f>
        <v>1841000</v>
      </c>
      <c r="O16" s="2"/>
    </row>
    <row r="17" customFormat="false" ht="15" hidden="false" customHeight="false" outlineLevel="0" collapsed="false">
      <c r="A17" s="2" t="n">
        <v>16</v>
      </c>
      <c r="B17" s="2" t="s">
        <v>70</v>
      </c>
      <c r="C17" s="2" t="s">
        <v>71</v>
      </c>
      <c r="D17" s="2" t="s">
        <v>17</v>
      </c>
      <c r="E17" s="2" t="s">
        <v>72</v>
      </c>
      <c r="F17" s="2" t="n">
        <v>5</v>
      </c>
      <c r="G17" s="2" t="s">
        <v>56</v>
      </c>
      <c r="H17" s="2" t="s">
        <v>57</v>
      </c>
      <c r="I17" s="2" t="s">
        <v>21</v>
      </c>
      <c r="J17" s="3" t="n">
        <v>110000</v>
      </c>
      <c r="K17" s="2" t="n">
        <v>560</v>
      </c>
      <c r="L17" s="2" t="n">
        <v>40</v>
      </c>
      <c r="M17" s="4" t="n">
        <v>23</v>
      </c>
      <c r="N17" s="3" t="n">
        <f aca="false">J17*M17</f>
        <v>2530000</v>
      </c>
      <c r="O17" s="2"/>
    </row>
    <row r="18" customFormat="false" ht="15" hidden="false" customHeight="false" outlineLevel="0" collapsed="false">
      <c r="A18" s="2" t="n">
        <v>17</v>
      </c>
      <c r="B18" s="2" t="s">
        <v>73</v>
      </c>
      <c r="C18" s="2" t="s">
        <v>74</v>
      </c>
      <c r="D18" s="2" t="s">
        <v>17</v>
      </c>
      <c r="E18" s="2" t="s">
        <v>75</v>
      </c>
      <c r="F18" s="2" t="n">
        <v>5</v>
      </c>
      <c r="G18" s="2" t="s">
        <v>56</v>
      </c>
      <c r="H18" s="2" t="s">
        <v>57</v>
      </c>
      <c r="I18" s="2" t="s">
        <v>21</v>
      </c>
      <c r="J18" s="3" t="n">
        <v>65000</v>
      </c>
      <c r="K18" s="2" t="n">
        <v>966</v>
      </c>
      <c r="L18" s="2" t="n">
        <v>40</v>
      </c>
      <c r="M18" s="4" t="n">
        <v>39.26</v>
      </c>
      <c r="N18" s="3" t="n">
        <f aca="false">J18*M18</f>
        <v>2551900</v>
      </c>
      <c r="O18" s="2"/>
    </row>
    <row r="19" customFormat="false" ht="15" hidden="false" customHeight="false" outlineLevel="0" collapsed="false">
      <c r="A19" s="2" t="n">
        <v>18</v>
      </c>
      <c r="B19" s="2" t="s">
        <v>76</v>
      </c>
      <c r="C19" s="2" t="s">
        <v>77</v>
      </c>
      <c r="D19" s="2" t="s">
        <v>17</v>
      </c>
      <c r="E19" s="2" t="s">
        <v>78</v>
      </c>
      <c r="F19" s="2" t="n">
        <v>5</v>
      </c>
      <c r="G19" s="2" t="s">
        <v>56</v>
      </c>
      <c r="H19" s="2" t="s">
        <v>57</v>
      </c>
      <c r="I19" s="2" t="s">
        <v>21</v>
      </c>
      <c r="J19" s="3" t="n">
        <v>40000</v>
      </c>
      <c r="K19" s="2" t="n">
        <v>1097</v>
      </c>
      <c r="L19" s="2" t="n">
        <v>40</v>
      </c>
      <c r="M19" s="4" t="n">
        <v>44.5</v>
      </c>
      <c r="N19" s="3" t="n">
        <f aca="false">J19*M19</f>
        <v>1780000</v>
      </c>
      <c r="O19" s="2"/>
    </row>
    <row r="20" customFormat="false" ht="15" hidden="false" customHeight="false" outlineLevel="0" collapsed="false">
      <c r="A20" s="2" t="n">
        <v>19</v>
      </c>
      <c r="B20" s="2" t="s">
        <v>79</v>
      </c>
      <c r="C20" s="2" t="s">
        <v>80</v>
      </c>
      <c r="D20" s="2" t="s">
        <v>17</v>
      </c>
      <c r="E20" s="2" t="s">
        <v>81</v>
      </c>
      <c r="F20" s="2" t="n">
        <v>5</v>
      </c>
      <c r="G20" s="2" t="s">
        <v>56</v>
      </c>
      <c r="H20" s="2" t="s">
        <v>57</v>
      </c>
      <c r="I20" s="2" t="s">
        <v>21</v>
      </c>
      <c r="J20" s="3" t="n">
        <v>25000</v>
      </c>
      <c r="K20" s="2" t="n">
        <v>1332</v>
      </c>
      <c r="L20" s="2" t="n">
        <v>40</v>
      </c>
      <c r="M20" s="4" t="n">
        <v>53.87</v>
      </c>
      <c r="N20" s="3" t="n">
        <f aca="false">J20*M20</f>
        <v>1346750</v>
      </c>
      <c r="O20" s="2"/>
    </row>
    <row r="21" customFormat="false" ht="15" hidden="false" customHeight="false" outlineLevel="0" collapsed="false">
      <c r="A21" s="2" t="n">
        <v>20</v>
      </c>
      <c r="B21" s="2" t="s">
        <v>82</v>
      </c>
      <c r="C21" s="2" t="s">
        <v>83</v>
      </c>
      <c r="D21" s="2" t="s">
        <v>17</v>
      </c>
      <c r="E21" s="2" t="s">
        <v>84</v>
      </c>
      <c r="F21" s="2" t="n">
        <v>5</v>
      </c>
      <c r="G21" s="2" t="s">
        <v>56</v>
      </c>
      <c r="H21" s="2" t="s">
        <v>57</v>
      </c>
      <c r="I21" s="2" t="s">
        <v>35</v>
      </c>
      <c r="J21" s="3" t="n">
        <v>30000</v>
      </c>
      <c r="K21" s="2" t="n">
        <v>1419</v>
      </c>
      <c r="L21" s="2" t="n">
        <v>40</v>
      </c>
      <c r="M21" s="4" t="n">
        <v>57.88</v>
      </c>
      <c r="N21" s="3" t="n">
        <f aca="false">J21*M21</f>
        <v>1736400</v>
      </c>
      <c r="O21" s="2"/>
    </row>
    <row r="22" customFormat="false" ht="15" hidden="false" customHeight="false" outlineLevel="0" collapsed="false">
      <c r="A22" s="2" t="n">
        <v>21</v>
      </c>
      <c r="B22" s="2" t="s">
        <v>85</v>
      </c>
      <c r="C22" s="2" t="s">
        <v>86</v>
      </c>
      <c r="D22" s="2" t="s">
        <v>17</v>
      </c>
      <c r="E22" s="2" t="s">
        <v>87</v>
      </c>
      <c r="F22" s="2" t="n">
        <v>5</v>
      </c>
      <c r="G22" s="2" t="s">
        <v>56</v>
      </c>
      <c r="H22" s="2" t="s">
        <v>57</v>
      </c>
      <c r="I22" s="2" t="s">
        <v>88</v>
      </c>
      <c r="J22" s="3" t="n">
        <v>15000</v>
      </c>
      <c r="K22" s="2" t="n">
        <v>718</v>
      </c>
      <c r="L22" s="2" t="n">
        <v>40</v>
      </c>
      <c r="M22" s="4" t="n">
        <v>31.12</v>
      </c>
      <c r="N22" s="3" t="n">
        <f aca="false">J22*M22</f>
        <v>466800</v>
      </c>
      <c r="O22" s="2" t="s">
        <v>89</v>
      </c>
    </row>
    <row r="23" customFormat="false" ht="15" hidden="false" customHeight="false" outlineLevel="0" collapsed="false">
      <c r="A23" s="2" t="n">
        <v>22</v>
      </c>
      <c r="B23" s="2" t="s">
        <v>90</v>
      </c>
      <c r="C23" s="2" t="s">
        <v>91</v>
      </c>
      <c r="D23" s="2" t="s">
        <v>92</v>
      </c>
      <c r="E23" s="2" t="s">
        <v>93</v>
      </c>
      <c r="F23" s="2" t="n">
        <v>5</v>
      </c>
      <c r="G23" s="2" t="s">
        <v>56</v>
      </c>
      <c r="H23" s="2" t="s">
        <v>57</v>
      </c>
      <c r="I23" s="2" t="s">
        <v>52</v>
      </c>
      <c r="J23" s="3" t="n">
        <v>8000</v>
      </c>
      <c r="K23" s="2" t="n">
        <v>1447</v>
      </c>
      <c r="L23" s="2" t="n">
        <v>40</v>
      </c>
      <c r="M23" s="4" t="n">
        <v>57.87</v>
      </c>
      <c r="N23" s="3" t="n">
        <f aca="false">J23*M23</f>
        <v>462960</v>
      </c>
      <c r="O23" s="2"/>
    </row>
    <row r="24" customFormat="false" ht="15" hidden="false" customHeight="false" outlineLevel="0" collapsed="false">
      <c r="A24" s="2" t="n">
        <v>23</v>
      </c>
      <c r="B24" s="2" t="s">
        <v>94</v>
      </c>
      <c r="C24" s="2" t="s">
        <v>95</v>
      </c>
      <c r="D24" s="2" t="s">
        <v>17</v>
      </c>
      <c r="E24" s="2" t="s">
        <v>96</v>
      </c>
      <c r="F24" s="2" t="n">
        <v>7</v>
      </c>
      <c r="G24" s="2" t="s">
        <v>97</v>
      </c>
      <c r="H24" s="2" t="s">
        <v>98</v>
      </c>
      <c r="I24" s="2" t="s">
        <v>52</v>
      </c>
      <c r="J24" s="3" t="n">
        <v>6000</v>
      </c>
      <c r="K24" s="2" t="n">
        <v>4395</v>
      </c>
      <c r="L24" s="2" t="n">
        <v>46</v>
      </c>
      <c r="M24" s="4" t="n">
        <v>202.18</v>
      </c>
      <c r="N24" s="3" t="n">
        <f aca="false">J24*M24</f>
        <v>1213080</v>
      </c>
      <c r="O24" s="2" t="s">
        <v>99</v>
      </c>
    </row>
    <row r="25" customFormat="false" ht="15" hidden="false" customHeight="false" outlineLevel="0" collapsed="false">
      <c r="A25" s="2" t="n">
        <v>24</v>
      </c>
      <c r="B25" s="2" t="s">
        <v>100</v>
      </c>
      <c r="C25" s="2" t="s">
        <v>101</v>
      </c>
      <c r="D25" s="2" t="s">
        <v>17</v>
      </c>
      <c r="E25" s="2" t="s">
        <v>102</v>
      </c>
      <c r="F25" s="2" t="n">
        <v>7</v>
      </c>
      <c r="G25" s="2" t="s">
        <v>97</v>
      </c>
      <c r="H25" s="2" t="s">
        <v>98</v>
      </c>
      <c r="I25" s="2" t="s">
        <v>21</v>
      </c>
      <c r="J25" s="3" t="n">
        <v>5000</v>
      </c>
      <c r="K25" s="2" t="n">
        <v>3151</v>
      </c>
      <c r="L25" s="2" t="n">
        <v>46</v>
      </c>
      <c r="M25" s="4" t="n">
        <v>145.55</v>
      </c>
      <c r="N25" s="3" t="n">
        <f aca="false">J25*M25</f>
        <v>727750</v>
      </c>
      <c r="O25" s="2" t="s">
        <v>99</v>
      </c>
    </row>
    <row r="26" customFormat="false" ht="15" hidden="false" customHeight="false" outlineLevel="0" collapsed="false">
      <c r="A26" s="2" t="n">
        <v>25</v>
      </c>
      <c r="B26" s="2" t="s">
        <v>103</v>
      </c>
      <c r="C26" s="2" t="s">
        <v>104</v>
      </c>
      <c r="D26" s="2" t="s">
        <v>105</v>
      </c>
      <c r="E26" s="2" t="s">
        <v>106</v>
      </c>
      <c r="F26" s="2" t="n">
        <v>3</v>
      </c>
      <c r="G26" s="2" t="s">
        <v>45</v>
      </c>
      <c r="H26" s="2" t="s">
        <v>20</v>
      </c>
      <c r="I26" s="2" t="s">
        <v>88</v>
      </c>
      <c r="J26" s="3" t="n">
        <v>40000</v>
      </c>
      <c r="K26" s="2" t="n">
        <v>140</v>
      </c>
      <c r="L26" s="2" t="n">
        <v>36</v>
      </c>
      <c r="M26" s="4" t="n">
        <v>8.45</v>
      </c>
      <c r="N26" s="3" t="n">
        <f aca="false">J26*M26</f>
        <v>338000</v>
      </c>
      <c r="O26" s="2" t="s">
        <v>107</v>
      </c>
    </row>
    <row r="27" customFormat="false" ht="15" hidden="false" customHeight="false" outlineLevel="0" collapsed="false">
      <c r="A27" s="2" t="n">
        <v>26</v>
      </c>
      <c r="B27" s="2" t="s">
        <v>108</v>
      </c>
      <c r="C27" s="2" t="s">
        <v>109</v>
      </c>
      <c r="D27" s="2" t="s">
        <v>105</v>
      </c>
      <c r="E27" s="2" t="s">
        <v>110</v>
      </c>
      <c r="F27" s="2" t="n">
        <v>3</v>
      </c>
      <c r="G27" s="2" t="s">
        <v>45</v>
      </c>
      <c r="H27" s="2" t="s">
        <v>20</v>
      </c>
      <c r="I27" s="2" t="s">
        <v>35</v>
      </c>
      <c r="J27" s="3" t="n">
        <v>60000</v>
      </c>
      <c r="K27" s="2" t="n">
        <v>94</v>
      </c>
      <c r="L27" s="2" t="n">
        <v>36</v>
      </c>
      <c r="M27" s="4" t="n">
        <v>5.48</v>
      </c>
      <c r="N27" s="3" t="n">
        <f aca="false">J27*M27</f>
        <v>328800</v>
      </c>
      <c r="O27" s="2"/>
    </row>
    <row r="28" customFormat="false" ht="15" hidden="false" customHeight="false" outlineLevel="0" collapsed="false">
      <c r="A28" s="2" t="n">
        <v>27</v>
      </c>
      <c r="B28" s="2" t="s">
        <v>111</v>
      </c>
      <c r="C28" s="2" t="s">
        <v>112</v>
      </c>
      <c r="D28" s="2" t="s">
        <v>113</v>
      </c>
      <c r="E28" s="2" t="s">
        <v>114</v>
      </c>
      <c r="F28" s="2" t="n">
        <v>3</v>
      </c>
      <c r="G28" s="2" t="s">
        <v>19</v>
      </c>
      <c r="H28" s="2" t="s">
        <v>20</v>
      </c>
      <c r="I28" s="2" t="s">
        <v>52</v>
      </c>
      <c r="J28" s="3" t="n">
        <v>140000</v>
      </c>
      <c r="K28" s="2" t="n">
        <v>103</v>
      </c>
      <c r="L28" s="2" t="n">
        <v>36</v>
      </c>
      <c r="M28" s="4" t="n">
        <v>3.7</v>
      </c>
      <c r="N28" s="3" t="n">
        <f aca="false">J28*M28</f>
        <v>518000</v>
      </c>
      <c r="O28" s="2" t="s">
        <v>115</v>
      </c>
    </row>
    <row r="29" customFormat="false" ht="15" hidden="false" customHeight="false" outlineLevel="0" collapsed="false">
      <c r="A29" s="2" t="n">
        <v>28</v>
      </c>
      <c r="B29" s="2" t="s">
        <v>116</v>
      </c>
      <c r="C29" s="2" t="s">
        <v>117</v>
      </c>
      <c r="D29" s="2" t="s">
        <v>113</v>
      </c>
      <c r="E29" s="2" t="s">
        <v>118</v>
      </c>
      <c r="F29" s="2" t="n">
        <v>3</v>
      </c>
      <c r="G29" s="2" t="s">
        <v>19</v>
      </c>
      <c r="H29" s="2" t="s">
        <v>20</v>
      </c>
      <c r="I29" s="2" t="s">
        <v>52</v>
      </c>
      <c r="J29" s="3" t="n">
        <v>70000</v>
      </c>
      <c r="K29" s="2" t="n">
        <v>144</v>
      </c>
      <c r="L29" s="2" t="n">
        <v>36</v>
      </c>
      <c r="M29" s="4" t="n">
        <v>5.19</v>
      </c>
      <c r="N29" s="3" t="n">
        <f aca="false">J29*M29</f>
        <v>363300</v>
      </c>
      <c r="O29" s="2" t="s">
        <v>119</v>
      </c>
    </row>
    <row r="30" customFormat="false" ht="15" hidden="false" customHeight="false" outlineLevel="0" collapsed="false">
      <c r="A30" s="2" t="n">
        <v>29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n">
        <v>3</v>
      </c>
      <c r="G30" s="2" t="s">
        <v>19</v>
      </c>
      <c r="H30" s="2" t="s">
        <v>20</v>
      </c>
      <c r="I30" s="2" t="s">
        <v>52</v>
      </c>
      <c r="J30" s="3" t="n">
        <v>300000</v>
      </c>
      <c r="K30" s="2" t="n">
        <v>59</v>
      </c>
      <c r="L30" s="2" t="n">
        <v>36</v>
      </c>
      <c r="M30" s="4" t="n">
        <v>2.13</v>
      </c>
      <c r="N30" s="3" t="n">
        <f aca="false">J30*M30</f>
        <v>639000</v>
      </c>
      <c r="O30" s="2"/>
    </row>
    <row r="31" customFormat="false" ht="15" hidden="false" customHeight="false" outlineLevel="0" collapsed="false">
      <c r="A31" s="2" t="n">
        <v>30</v>
      </c>
      <c r="B31" s="2" t="s">
        <v>124</v>
      </c>
      <c r="C31" s="2" t="s">
        <v>125</v>
      </c>
      <c r="D31" s="2" t="s">
        <v>122</v>
      </c>
      <c r="E31" s="2" t="s">
        <v>126</v>
      </c>
      <c r="F31" s="2" t="n">
        <v>5</v>
      </c>
      <c r="G31" s="2" t="s">
        <v>56</v>
      </c>
      <c r="H31" s="2" t="s">
        <v>57</v>
      </c>
      <c r="I31" s="2" t="s">
        <v>52</v>
      </c>
      <c r="J31" s="3" t="n">
        <v>60000</v>
      </c>
      <c r="K31" s="2" t="n">
        <v>207</v>
      </c>
      <c r="L31" s="2" t="n">
        <v>40</v>
      </c>
      <c r="M31" s="4" t="n">
        <v>8.27</v>
      </c>
      <c r="N31" s="3" t="n">
        <f aca="false">J31*M31</f>
        <v>496200</v>
      </c>
      <c r="O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3"/>
      <c r="K32" s="2"/>
      <c r="L32" s="2"/>
      <c r="M32" s="5" t="s">
        <v>127</v>
      </c>
      <c r="N32" s="6" t="n">
        <f aca="false">SUM(N2:N31)</f>
        <v>41107840</v>
      </c>
      <c r="O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7" t="s">
        <v>128</v>
      </c>
      <c r="N33" s="5" t="n">
        <f aca="false">N32/10000000</f>
        <v>4.110784</v>
      </c>
      <c r="O3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8" t="s">
        <v>129</v>
      </c>
      <c r="B1" s="8" t="s">
        <v>130</v>
      </c>
      <c r="C1" s="8" t="s">
        <v>131</v>
      </c>
    </row>
    <row r="2" customFormat="false" ht="15" hidden="false" customHeight="false" outlineLevel="0" collapsed="false">
      <c r="A2" s="9" t="s">
        <v>132</v>
      </c>
      <c r="B2" s="9" t="s">
        <v>133</v>
      </c>
      <c r="C2" s="9" t="s">
        <v>134</v>
      </c>
    </row>
    <row r="3" customFormat="false" ht="15" hidden="false" customHeight="false" outlineLevel="0" collapsed="false">
      <c r="A3" s="9" t="s">
        <v>135</v>
      </c>
      <c r="B3" s="9" t="s">
        <v>136</v>
      </c>
      <c r="C3" s="9" t="s">
        <v>137</v>
      </c>
    </row>
    <row r="4" customFormat="false" ht="15" hidden="false" customHeight="false" outlineLevel="0" collapsed="false">
      <c r="A4" s="9" t="s">
        <v>138</v>
      </c>
      <c r="B4" s="9" t="s">
        <v>139</v>
      </c>
      <c r="C4" s="9" t="s">
        <v>140</v>
      </c>
    </row>
    <row r="5" customFormat="false" ht="15" hidden="false" customHeight="false" outlineLevel="0" collapsed="false">
      <c r="A5" s="9" t="s">
        <v>141</v>
      </c>
      <c r="B5" s="9" t="s">
        <v>142</v>
      </c>
      <c r="C5" s="9" t="s">
        <v>143</v>
      </c>
    </row>
    <row r="6" customFormat="false" ht="15" hidden="false" customHeight="false" outlineLevel="0" collapsed="false">
      <c r="A6" s="9" t="s">
        <v>144</v>
      </c>
      <c r="B6" s="9" t="s">
        <v>145</v>
      </c>
      <c r="C6" s="9" t="s">
        <v>146</v>
      </c>
    </row>
    <row r="7" customFormat="false" ht="15" hidden="false" customHeight="false" outlineLevel="0" collapsed="false">
      <c r="A7" s="9" t="s">
        <v>147</v>
      </c>
      <c r="B7" s="9" t="s">
        <v>148</v>
      </c>
      <c r="C7" s="9" t="s">
        <v>149</v>
      </c>
    </row>
    <row r="8" customFormat="false" ht="15" hidden="false" customHeight="false" outlineLevel="0" collapsed="false">
      <c r="A8" s="9" t="s">
        <v>150</v>
      </c>
      <c r="B8" s="9" t="s">
        <v>151</v>
      </c>
      <c r="C8" s="9" t="s">
        <v>152</v>
      </c>
    </row>
    <row r="9" customFormat="false" ht="15" hidden="false" customHeight="false" outlineLevel="0" collapsed="false">
      <c r="A9" s="9" t="s">
        <v>153</v>
      </c>
      <c r="B9" s="9" t="s">
        <v>154</v>
      </c>
      <c r="C9" s="9" t="s">
        <v>155</v>
      </c>
    </row>
    <row r="10" customFormat="false" ht="15" hidden="false" customHeight="false" outlineLevel="0" collapsed="false">
      <c r="A10" s="9" t="s">
        <v>156</v>
      </c>
      <c r="B10" s="9" t="s">
        <v>157</v>
      </c>
      <c r="C10" s="9" t="s">
        <v>158</v>
      </c>
    </row>
    <row r="11" customFormat="false" ht="15" hidden="false" customHeight="false" outlineLevel="0" collapsed="false">
      <c r="A11" s="9" t="s">
        <v>159</v>
      </c>
      <c r="B11" s="9" t="s">
        <v>160</v>
      </c>
      <c r="C11" s="9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8" t="s">
        <v>162</v>
      </c>
      <c r="B1" s="8" t="s">
        <v>163</v>
      </c>
      <c r="C1" s="8" t="s">
        <v>164</v>
      </c>
      <c r="D1" s="8" t="s">
        <v>165</v>
      </c>
    </row>
    <row r="2" customFormat="false" ht="15" hidden="false" customHeight="false" outlineLevel="0" collapsed="false">
      <c r="A2" s="9" t="n">
        <v>1</v>
      </c>
      <c r="B2" s="9" t="s">
        <v>166</v>
      </c>
      <c r="C2" s="9" t="s">
        <v>167</v>
      </c>
      <c r="D2" s="9" t="s">
        <v>168</v>
      </c>
    </row>
    <row r="3" customFormat="false" ht="15" hidden="false" customHeight="false" outlineLevel="0" collapsed="false">
      <c r="A3" s="9" t="n">
        <v>2</v>
      </c>
      <c r="B3" s="9" t="s">
        <v>169</v>
      </c>
      <c r="C3" s="9" t="s">
        <v>167</v>
      </c>
      <c r="D3" s="9" t="s">
        <v>170</v>
      </c>
    </row>
    <row r="4" customFormat="false" ht="15" hidden="false" customHeight="false" outlineLevel="0" collapsed="false">
      <c r="A4" s="9" t="n">
        <v>3</v>
      </c>
      <c r="B4" s="9" t="s">
        <v>171</v>
      </c>
      <c r="C4" s="9" t="s">
        <v>172</v>
      </c>
      <c r="D4" s="9" t="s">
        <v>173</v>
      </c>
    </row>
    <row r="5" customFormat="false" ht="15" hidden="false" customHeight="false" outlineLevel="0" collapsed="false">
      <c r="A5" s="9" t="n">
        <v>4</v>
      </c>
      <c r="B5" s="9" t="s">
        <v>174</v>
      </c>
      <c r="C5" s="9" t="s">
        <v>167</v>
      </c>
      <c r="D5" s="9" t="s">
        <v>175</v>
      </c>
    </row>
    <row r="6" customFormat="false" ht="15" hidden="false" customHeight="false" outlineLevel="0" collapsed="false">
      <c r="A6" s="9" t="n">
        <v>5</v>
      </c>
      <c r="B6" s="9" t="s">
        <v>176</v>
      </c>
      <c r="C6" s="9" t="s">
        <v>167</v>
      </c>
      <c r="D6" s="9" t="s">
        <v>170</v>
      </c>
    </row>
    <row r="7" customFormat="false" ht="15" hidden="false" customHeight="false" outlineLevel="0" collapsed="false">
      <c r="A7" s="9" t="n">
        <v>6</v>
      </c>
      <c r="B7" s="9" t="s">
        <v>177</v>
      </c>
      <c r="C7" s="9" t="s">
        <v>178</v>
      </c>
      <c r="D7" s="9" t="s">
        <v>179</v>
      </c>
    </row>
    <row r="8" customFormat="false" ht="15" hidden="false" customHeight="false" outlineLevel="0" collapsed="false">
      <c r="A8" s="9" t="n">
        <v>7</v>
      </c>
      <c r="B8" s="9" t="s">
        <v>180</v>
      </c>
      <c r="C8" s="9" t="s">
        <v>178</v>
      </c>
      <c r="D8" s="9" t="s">
        <v>181</v>
      </c>
    </row>
    <row r="9" customFormat="false" ht="15" hidden="false" customHeight="false" outlineLevel="0" collapsed="false">
      <c r="A9" s="9" t="n">
        <v>8</v>
      </c>
      <c r="B9" s="9" t="s">
        <v>182</v>
      </c>
      <c r="C9" s="9" t="s">
        <v>172</v>
      </c>
      <c r="D9" s="9" t="s">
        <v>183</v>
      </c>
    </row>
    <row r="10" customFormat="false" ht="15" hidden="false" customHeight="false" outlineLevel="0" collapsed="false">
      <c r="A10" s="9" t="n">
        <v>9</v>
      </c>
      <c r="B10" s="9" t="s">
        <v>184</v>
      </c>
      <c r="C10" s="9" t="s">
        <v>172</v>
      </c>
      <c r="D10" s="9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8" t="s">
        <v>186</v>
      </c>
      <c r="B1" s="8" t="s">
        <v>187</v>
      </c>
      <c r="C1" s="8" t="s">
        <v>130</v>
      </c>
      <c r="D1" s="8" t="s">
        <v>188</v>
      </c>
    </row>
    <row r="2" customFormat="false" ht="15" hidden="false" customHeight="false" outlineLevel="0" collapsed="false">
      <c r="A2" s="9" t="s">
        <v>189</v>
      </c>
      <c r="B2" s="9" t="s">
        <v>190</v>
      </c>
      <c r="C2" s="9" t="s">
        <v>191</v>
      </c>
      <c r="D2" s="9" t="s">
        <v>192</v>
      </c>
    </row>
    <row r="3" customFormat="false" ht="15" hidden="false" customHeight="false" outlineLevel="0" collapsed="false">
      <c r="A3" s="9" t="s">
        <v>189</v>
      </c>
      <c r="B3" s="9" t="s">
        <v>193</v>
      </c>
      <c r="C3" s="9" t="s">
        <v>194</v>
      </c>
      <c r="D3" s="9" t="s">
        <v>195</v>
      </c>
    </row>
    <row r="4" customFormat="false" ht="15" hidden="false" customHeight="false" outlineLevel="0" collapsed="false">
      <c r="A4" s="9" t="s">
        <v>189</v>
      </c>
      <c r="B4" s="9" t="s">
        <v>196</v>
      </c>
      <c r="C4" s="9" t="s">
        <v>197</v>
      </c>
      <c r="D4" s="9" t="s">
        <v>195</v>
      </c>
    </row>
    <row r="5" customFormat="false" ht="15" hidden="false" customHeight="false" outlineLevel="0" collapsed="false">
      <c r="A5" s="9" t="s">
        <v>189</v>
      </c>
      <c r="B5" s="9" t="s">
        <v>198</v>
      </c>
      <c r="C5" s="9" t="s">
        <v>199</v>
      </c>
      <c r="D5" s="9" t="s">
        <v>195</v>
      </c>
    </row>
    <row r="6" customFormat="false" ht="15" hidden="false" customHeight="false" outlineLevel="0" collapsed="false">
      <c r="A6" s="9" t="s">
        <v>189</v>
      </c>
      <c r="B6" s="9" t="s">
        <v>200</v>
      </c>
      <c r="C6" s="9" t="s">
        <v>201</v>
      </c>
      <c r="D6" s="9" t="s">
        <v>195</v>
      </c>
    </row>
    <row r="7" customFormat="false" ht="15" hidden="false" customHeight="false" outlineLevel="0" collapsed="false">
      <c r="A7" s="9" t="s">
        <v>189</v>
      </c>
      <c r="B7" s="9" t="s">
        <v>202</v>
      </c>
      <c r="C7" s="9" t="s">
        <v>197</v>
      </c>
      <c r="D7" s="9" t="s">
        <v>195</v>
      </c>
    </row>
    <row r="8" customFormat="false" ht="15" hidden="false" customHeight="false" outlineLevel="0" collapsed="false">
      <c r="A8" s="9" t="s">
        <v>189</v>
      </c>
      <c r="B8" s="9" t="s">
        <v>203</v>
      </c>
      <c r="C8" s="9" t="s">
        <v>204</v>
      </c>
      <c r="D8" s="9" t="s">
        <v>195</v>
      </c>
    </row>
    <row r="9" customFormat="false" ht="15" hidden="false" customHeight="false" outlineLevel="0" collapsed="false">
      <c r="A9" s="9" t="s">
        <v>189</v>
      </c>
      <c r="B9" s="9" t="s">
        <v>205</v>
      </c>
      <c r="C9" s="9" t="s">
        <v>206</v>
      </c>
      <c r="D9" s="9" t="s">
        <v>195</v>
      </c>
    </row>
    <row r="10" customFormat="false" ht="15" hidden="false" customHeight="false" outlineLevel="0" collapsed="false">
      <c r="A10" s="9" t="s">
        <v>189</v>
      </c>
      <c r="B10" s="9" t="s">
        <v>207</v>
      </c>
      <c r="C10" s="9" t="s">
        <v>208</v>
      </c>
      <c r="D10" s="9" t="s">
        <v>195</v>
      </c>
    </row>
    <row r="11" customFormat="false" ht="15" hidden="false" customHeight="false" outlineLevel="0" collapsed="false">
      <c r="A11" s="9" t="s">
        <v>189</v>
      </c>
      <c r="B11" s="9" t="s">
        <v>209</v>
      </c>
      <c r="C11" s="9" t="s">
        <v>210</v>
      </c>
      <c r="D11" s="9" t="s">
        <v>195</v>
      </c>
    </row>
    <row r="12" customFormat="false" ht="15" hidden="false" customHeight="false" outlineLevel="0" collapsed="false">
      <c r="A12" s="9" t="s">
        <v>189</v>
      </c>
      <c r="B12" s="9" t="s">
        <v>211</v>
      </c>
      <c r="C12" s="9" t="s">
        <v>212</v>
      </c>
      <c r="D12" s="9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2026-10-06T11:58:37Z</dcterms:created>
  <dc:creator>openpyxl</dc:creator>
  <dc:description/>
  <dc:language>en-US</dc:language>
  <cp:lastModifiedBy/>
  <dcterms:modified xsi:type="dcterms:W3CDTF">2026-10-06T11:58:37Z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